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stasie.UOFI\Dropbox\Food Practicum Shared Folder\Fresh Start\After Action Review\outputs\"/>
    </mc:Choice>
  </mc:AlternateContent>
  <bookViews>
    <workbookView xWindow="0" yWindow="0" windowWidth="28800" windowHeight="12435" firstSheet="1" activeTab="2"/>
  </bookViews>
  <sheets>
    <sheet name="T1-Basic Desc Stats" sheetId="1" r:id="rId1"/>
    <sheet name="recalled" sheetId="3" r:id="rId2"/>
    <sheet name="recovered" sheetId="4" r:id="rId3"/>
    <sheet name="T2-Multivariate Model" sheetId="2" r:id="rId4"/>
  </sheets>
  <externalReferences>
    <externalReference r:id="rId5"/>
    <externalReference r:id="rId6"/>
  </externalReferences>
  <calcPr calcId="152511"/>
</workbook>
</file>

<file path=xl/calcChain.xml><?xml version="1.0" encoding="utf-8"?>
<calcChain xmlns="http://schemas.openxmlformats.org/spreadsheetml/2006/main">
  <c r="U3" i="1" l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K2" i="1"/>
  <c r="L2" i="1"/>
  <c r="M2" i="1"/>
  <c r="N2" i="1"/>
  <c r="O2" i="1"/>
  <c r="P2" i="1"/>
  <c r="K4" i="1"/>
  <c r="L4" i="1"/>
  <c r="M4" i="1"/>
  <c r="N4" i="1"/>
  <c r="O4" i="1"/>
  <c r="P4" i="1"/>
  <c r="Q4" i="1"/>
  <c r="R3" i="1"/>
  <c r="K5" i="1"/>
  <c r="L5" i="1"/>
  <c r="M5" i="1"/>
  <c r="N5" i="1"/>
  <c r="O5" i="1"/>
  <c r="P5" i="1"/>
  <c r="Q5" i="1"/>
  <c r="R5" i="1"/>
  <c r="K6" i="1"/>
  <c r="L6" i="1"/>
  <c r="M6" i="1"/>
  <c r="N6" i="1"/>
  <c r="O6" i="1"/>
  <c r="P6" i="1"/>
  <c r="Q6" i="1"/>
  <c r="R6" i="1"/>
  <c r="K7" i="1"/>
  <c r="L7" i="1"/>
  <c r="M7" i="1"/>
  <c r="N7" i="1"/>
  <c r="O7" i="1"/>
  <c r="K9" i="1"/>
  <c r="L9" i="1"/>
  <c r="M9" i="1"/>
  <c r="N9" i="1"/>
  <c r="O9" i="1"/>
  <c r="P9" i="1"/>
  <c r="Q9" i="1"/>
  <c r="R8" i="1"/>
  <c r="K10" i="1"/>
  <c r="L10" i="1"/>
  <c r="M10" i="1"/>
  <c r="N10" i="1"/>
  <c r="O10" i="1"/>
  <c r="P10" i="1"/>
  <c r="Q10" i="1"/>
  <c r="R10" i="1"/>
  <c r="K11" i="1"/>
  <c r="L11" i="1"/>
  <c r="M11" i="1"/>
  <c r="N11" i="1"/>
  <c r="O11" i="1"/>
  <c r="P11" i="1"/>
  <c r="Q11" i="1"/>
  <c r="R11" i="1"/>
  <c r="K12" i="1"/>
  <c r="L12" i="1"/>
  <c r="M12" i="1"/>
  <c r="N12" i="1"/>
  <c r="O12" i="1"/>
  <c r="P12" i="1"/>
  <c r="Q12" i="1"/>
  <c r="R12" i="1"/>
  <c r="K14" i="1"/>
  <c r="L14" i="1"/>
  <c r="M14" i="1"/>
  <c r="N14" i="1"/>
  <c r="O14" i="1"/>
  <c r="P14" i="1"/>
  <c r="Q14" i="1"/>
  <c r="R13" i="1"/>
  <c r="K15" i="1"/>
  <c r="L15" i="1"/>
  <c r="M15" i="1"/>
  <c r="N15" i="1"/>
  <c r="O15" i="1"/>
  <c r="P15" i="1"/>
  <c r="Q15" i="1"/>
  <c r="R15" i="1"/>
  <c r="K16" i="1"/>
  <c r="L16" i="1"/>
  <c r="M16" i="1"/>
  <c r="N16" i="1"/>
  <c r="O16" i="1"/>
  <c r="P16" i="1"/>
  <c r="Q16" i="1"/>
  <c r="R16" i="1"/>
  <c r="K17" i="1"/>
  <c r="L17" i="1"/>
  <c r="M17" i="1"/>
  <c r="N17" i="1"/>
  <c r="O17" i="1"/>
  <c r="P17" i="1"/>
  <c r="Q17" i="1"/>
  <c r="R17" i="1"/>
  <c r="K18" i="1"/>
  <c r="L18" i="1"/>
  <c r="M18" i="1"/>
  <c r="N18" i="1"/>
  <c r="O18" i="1"/>
  <c r="P18" i="1"/>
  <c r="Q18" i="1"/>
  <c r="R18" i="1"/>
  <c r="K19" i="1"/>
  <c r="L19" i="1"/>
  <c r="M19" i="1"/>
  <c r="N19" i="1"/>
  <c r="O19" i="1"/>
  <c r="P19" i="1"/>
  <c r="Q19" i="1"/>
  <c r="R19" i="1"/>
  <c r="K20" i="1"/>
  <c r="L20" i="1"/>
  <c r="M20" i="1"/>
  <c r="N20" i="1"/>
  <c r="O20" i="1"/>
  <c r="P20" i="1"/>
  <c r="Q20" i="1"/>
  <c r="R20" i="1"/>
  <c r="K21" i="1"/>
  <c r="L21" i="1"/>
  <c r="M21" i="1"/>
  <c r="N21" i="1"/>
  <c r="O21" i="1"/>
  <c r="P21" i="1"/>
  <c r="Q21" i="1"/>
  <c r="R21" i="1"/>
  <c r="K23" i="1"/>
  <c r="L23" i="1"/>
  <c r="M23" i="1"/>
  <c r="N23" i="1"/>
  <c r="O23" i="1"/>
  <c r="P23" i="1"/>
  <c r="Q23" i="1"/>
  <c r="R22" i="1"/>
  <c r="K24" i="1"/>
  <c r="L24" i="1"/>
  <c r="M24" i="1"/>
  <c r="N24" i="1"/>
  <c r="O24" i="1"/>
  <c r="P24" i="1"/>
  <c r="Q24" i="1"/>
  <c r="R24" i="1"/>
  <c r="K25" i="1"/>
  <c r="L25" i="1"/>
  <c r="M25" i="1"/>
  <c r="N25" i="1"/>
  <c r="O25" i="1"/>
  <c r="P25" i="1"/>
  <c r="Q25" i="1"/>
  <c r="R25" i="1"/>
  <c r="K26" i="1"/>
  <c r="L26" i="1"/>
  <c r="M26" i="1"/>
  <c r="N26" i="1"/>
  <c r="O26" i="1"/>
  <c r="P26" i="1"/>
  <c r="Q26" i="1"/>
  <c r="R26" i="1"/>
  <c r="K28" i="1"/>
  <c r="L28" i="1"/>
  <c r="M28" i="1"/>
  <c r="N28" i="1"/>
  <c r="O28" i="1"/>
  <c r="P28" i="1"/>
  <c r="Q28" i="1"/>
  <c r="R27" i="1"/>
  <c r="K29" i="1"/>
  <c r="L29" i="1"/>
  <c r="M29" i="1"/>
  <c r="N29" i="1"/>
  <c r="O29" i="1"/>
  <c r="P29" i="1"/>
  <c r="Q29" i="1"/>
  <c r="R29" i="1"/>
  <c r="K30" i="1"/>
  <c r="L30" i="1"/>
  <c r="M30" i="1"/>
  <c r="N30" i="1"/>
  <c r="O30" i="1"/>
  <c r="P30" i="1"/>
  <c r="Q30" i="1"/>
  <c r="R30" i="1"/>
  <c r="K31" i="1"/>
  <c r="L31" i="1"/>
  <c r="M31" i="1"/>
  <c r="N31" i="1"/>
  <c r="O31" i="1"/>
  <c r="P31" i="1"/>
  <c r="Q31" i="1"/>
  <c r="R31" i="1"/>
  <c r="K32" i="1"/>
  <c r="L32" i="1"/>
  <c r="M32" i="1"/>
  <c r="N32" i="1"/>
  <c r="O32" i="1"/>
  <c r="P32" i="1"/>
  <c r="Q32" i="1"/>
  <c r="R32" i="1"/>
  <c r="K33" i="1"/>
  <c r="L33" i="1"/>
  <c r="M33" i="1"/>
  <c r="N33" i="1"/>
  <c r="O33" i="1"/>
  <c r="P33" i="1"/>
  <c r="Q33" i="1"/>
  <c r="R33" i="1"/>
  <c r="K40" i="1"/>
  <c r="L40" i="1"/>
  <c r="M40" i="1"/>
  <c r="N40" i="1"/>
  <c r="O40" i="1"/>
  <c r="P40" i="1"/>
  <c r="Q40" i="1"/>
  <c r="R40" i="1"/>
  <c r="K41" i="1"/>
  <c r="L41" i="1"/>
  <c r="M41" i="1"/>
  <c r="N41" i="1"/>
  <c r="O41" i="1"/>
  <c r="P41" i="1"/>
  <c r="Q41" i="1"/>
  <c r="R41" i="1"/>
  <c r="K42" i="1"/>
  <c r="L42" i="1"/>
  <c r="M42" i="1"/>
  <c r="N42" i="1"/>
  <c r="O42" i="1"/>
  <c r="P42" i="1"/>
  <c r="Q42" i="1"/>
  <c r="R42" i="1"/>
  <c r="K43" i="1"/>
  <c r="L43" i="1"/>
  <c r="M43" i="1"/>
  <c r="N43" i="1"/>
  <c r="O43" i="1"/>
  <c r="P43" i="1"/>
  <c r="Q43" i="1"/>
  <c r="R43" i="1"/>
  <c r="K44" i="1"/>
  <c r="L44" i="1"/>
  <c r="M44" i="1"/>
  <c r="N44" i="1"/>
  <c r="O44" i="1"/>
  <c r="P44" i="1"/>
  <c r="Q44" i="1"/>
  <c r="R44" i="1"/>
  <c r="K45" i="1"/>
  <c r="L45" i="1"/>
  <c r="M45" i="1"/>
  <c r="N45" i="1"/>
  <c r="O45" i="1"/>
  <c r="P45" i="1"/>
  <c r="Q45" i="1"/>
  <c r="R45" i="1"/>
  <c r="K46" i="1"/>
  <c r="L46" i="1"/>
  <c r="M46" i="1"/>
  <c r="N46" i="1"/>
  <c r="O46" i="1"/>
  <c r="P46" i="1"/>
  <c r="Q46" i="1"/>
  <c r="R46" i="1"/>
  <c r="K47" i="1"/>
  <c r="L47" i="1"/>
  <c r="M47" i="1"/>
  <c r="N47" i="1"/>
  <c r="O47" i="1"/>
  <c r="P47" i="1"/>
  <c r="Q47" i="1"/>
  <c r="R47" i="1"/>
  <c r="K48" i="1"/>
  <c r="L48" i="1"/>
  <c r="M48" i="1"/>
  <c r="N48" i="1"/>
  <c r="O48" i="1"/>
  <c r="P48" i="1"/>
  <c r="Q48" i="1"/>
  <c r="R48" i="1"/>
  <c r="K49" i="1"/>
  <c r="L49" i="1"/>
  <c r="M49" i="1"/>
  <c r="N49" i="1"/>
  <c r="O49" i="1"/>
  <c r="P49" i="1"/>
  <c r="Q49" i="1"/>
  <c r="R49" i="1"/>
  <c r="B2" i="1"/>
  <c r="C2" i="1"/>
  <c r="D2" i="1"/>
  <c r="E2" i="1"/>
  <c r="F2" i="1"/>
  <c r="G2" i="1"/>
  <c r="B4" i="1"/>
  <c r="C4" i="1"/>
  <c r="D4" i="1"/>
  <c r="E4" i="1"/>
  <c r="F4" i="1"/>
  <c r="G4" i="1"/>
  <c r="H4" i="1"/>
  <c r="I3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B9" i="1"/>
  <c r="C9" i="1"/>
  <c r="D9" i="1"/>
  <c r="E9" i="1"/>
  <c r="F9" i="1"/>
  <c r="G9" i="1"/>
  <c r="H9" i="1"/>
  <c r="I8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4" i="1"/>
  <c r="C14" i="1"/>
  <c r="D14" i="1"/>
  <c r="E14" i="1"/>
  <c r="F14" i="1"/>
  <c r="G14" i="1"/>
  <c r="H14" i="1"/>
  <c r="I13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3" i="1"/>
  <c r="C23" i="1"/>
  <c r="D23" i="1"/>
  <c r="E23" i="1"/>
  <c r="F23" i="1"/>
  <c r="G23" i="1"/>
  <c r="H23" i="1"/>
  <c r="I22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8" i="1"/>
  <c r="C28" i="1"/>
  <c r="D28" i="1"/>
  <c r="E28" i="1"/>
  <c r="F28" i="1"/>
  <c r="G28" i="1"/>
  <c r="H28" i="1"/>
  <c r="I27" i="1"/>
  <c r="B29" i="1"/>
  <c r="C29" i="1"/>
  <c r="D29" i="1"/>
  <c r="E29" i="1"/>
  <c r="F29" i="1"/>
  <c r="G29" i="1"/>
  <c r="H29" i="1"/>
  <c r="I29" i="1"/>
  <c r="B30" i="1"/>
  <c r="C30" i="1"/>
  <c r="D30" i="1"/>
  <c r="E30" i="1"/>
  <c r="F30" i="1"/>
  <c r="G30" i="1"/>
  <c r="H30" i="1"/>
  <c r="I30" i="1"/>
  <c r="B31" i="1"/>
  <c r="C31" i="1"/>
  <c r="D31" i="1"/>
  <c r="E31" i="1"/>
  <c r="F31" i="1"/>
  <c r="G31" i="1"/>
  <c r="H31" i="1"/>
  <c r="I31" i="1"/>
  <c r="B32" i="1"/>
  <c r="C32" i="1"/>
  <c r="D32" i="1"/>
  <c r="E32" i="1"/>
  <c r="F32" i="1"/>
  <c r="G32" i="1"/>
  <c r="H32" i="1"/>
  <c r="I32" i="1"/>
  <c r="B33" i="1"/>
  <c r="C33" i="1"/>
  <c r="D33" i="1"/>
  <c r="E33" i="1"/>
  <c r="F33" i="1"/>
  <c r="G33" i="1"/>
  <c r="H33" i="1"/>
  <c r="I33" i="1"/>
  <c r="B34" i="1"/>
  <c r="C34" i="1"/>
  <c r="D34" i="1"/>
  <c r="E34" i="1"/>
  <c r="F34" i="1"/>
  <c r="G34" i="1"/>
  <c r="H34" i="1"/>
  <c r="I34" i="1"/>
  <c r="B35" i="1"/>
  <c r="C35" i="1"/>
  <c r="D35" i="1"/>
  <c r="E35" i="1"/>
  <c r="F35" i="1"/>
  <c r="G35" i="1"/>
  <c r="H35" i="1"/>
  <c r="I35" i="1"/>
  <c r="B36" i="1"/>
  <c r="C36" i="1"/>
  <c r="D36" i="1"/>
  <c r="E36" i="1"/>
  <c r="F36" i="1"/>
  <c r="G36" i="1"/>
  <c r="H36" i="1"/>
  <c r="I36" i="1"/>
  <c r="B37" i="1"/>
  <c r="C37" i="1"/>
  <c r="D37" i="1"/>
  <c r="E37" i="1"/>
  <c r="F37" i="1"/>
  <c r="G37" i="1"/>
  <c r="H37" i="1"/>
  <c r="I37" i="1"/>
  <c r="B38" i="1"/>
  <c r="C38" i="1"/>
  <c r="D38" i="1"/>
  <c r="E38" i="1"/>
  <c r="F38" i="1"/>
  <c r="G38" i="1"/>
  <c r="H38" i="1"/>
  <c r="I38" i="1"/>
  <c r="B39" i="1"/>
  <c r="C39" i="1"/>
  <c r="D39" i="1"/>
  <c r="E39" i="1"/>
  <c r="F39" i="1"/>
  <c r="G39" i="1"/>
  <c r="H39" i="1"/>
  <c r="I39" i="1"/>
  <c r="B40" i="1"/>
  <c r="C40" i="1"/>
  <c r="D40" i="1"/>
  <c r="E40" i="1"/>
  <c r="F40" i="1"/>
  <c r="G40" i="1"/>
  <c r="H40" i="1"/>
  <c r="I40" i="1"/>
  <c r="B41" i="1"/>
  <c r="C41" i="1"/>
  <c r="D41" i="1"/>
  <c r="E41" i="1"/>
  <c r="F41" i="1"/>
  <c r="G41" i="1"/>
  <c r="H41" i="1"/>
  <c r="I41" i="1"/>
  <c r="B42" i="1"/>
  <c r="C42" i="1"/>
  <c r="D42" i="1"/>
  <c r="E42" i="1"/>
  <c r="F42" i="1"/>
  <c r="G42" i="1"/>
  <c r="H42" i="1"/>
  <c r="I42" i="1"/>
  <c r="B43" i="1"/>
  <c r="C43" i="1"/>
  <c r="D43" i="1"/>
  <c r="E43" i="1"/>
  <c r="F43" i="1"/>
  <c r="G43" i="1"/>
  <c r="H43" i="1"/>
  <c r="I43" i="1"/>
  <c r="B44" i="1"/>
  <c r="C44" i="1"/>
  <c r="D44" i="1"/>
  <c r="E44" i="1"/>
  <c r="F44" i="1"/>
  <c r="G44" i="1"/>
  <c r="H44" i="1"/>
  <c r="I44" i="1"/>
  <c r="B45" i="1"/>
  <c r="C45" i="1"/>
  <c r="D45" i="1"/>
  <c r="E45" i="1"/>
  <c r="F45" i="1"/>
  <c r="G45" i="1"/>
  <c r="H45" i="1"/>
  <c r="I45" i="1"/>
  <c r="B46" i="1"/>
  <c r="C46" i="1"/>
  <c r="D46" i="1"/>
  <c r="E46" i="1"/>
  <c r="F46" i="1"/>
  <c r="G46" i="1"/>
  <c r="H46" i="1"/>
  <c r="I46" i="1"/>
  <c r="B47" i="1"/>
  <c r="C47" i="1"/>
  <c r="D47" i="1"/>
  <c r="E47" i="1"/>
  <c r="F47" i="1"/>
  <c r="G47" i="1"/>
  <c r="H47" i="1"/>
  <c r="I47" i="1"/>
  <c r="B48" i="1"/>
  <c r="C48" i="1"/>
  <c r="D48" i="1"/>
  <c r="E48" i="1"/>
  <c r="F48" i="1"/>
  <c r="G48" i="1"/>
  <c r="H48" i="1"/>
  <c r="I48" i="1"/>
  <c r="B49" i="1"/>
  <c r="C49" i="1"/>
  <c r="D49" i="1"/>
  <c r="E49" i="1"/>
  <c r="F49" i="1"/>
  <c r="G49" i="1"/>
  <c r="H49" i="1"/>
  <c r="I49" i="1"/>
  <c r="A1" i="4"/>
  <c r="B1" i="4"/>
  <c r="C1" i="4"/>
  <c r="D1" i="4"/>
  <c r="E1" i="4"/>
  <c r="F1" i="4"/>
  <c r="G1" i="4"/>
  <c r="H1" i="4"/>
  <c r="I1" i="4"/>
  <c r="J1" i="4"/>
  <c r="K1" i="4"/>
  <c r="A2" i="4"/>
  <c r="B2" i="4"/>
  <c r="C2" i="4"/>
  <c r="D2" i="4"/>
  <c r="E2" i="4"/>
  <c r="F2" i="4"/>
  <c r="G2" i="4"/>
  <c r="H2" i="4"/>
  <c r="I2" i="4"/>
  <c r="J2" i="4"/>
  <c r="K2" i="4"/>
  <c r="A3" i="4"/>
  <c r="B3" i="4"/>
  <c r="C3" i="4"/>
  <c r="D3" i="4"/>
  <c r="E3" i="4"/>
  <c r="F3" i="4"/>
  <c r="G3" i="4"/>
  <c r="H3" i="4"/>
  <c r="I3" i="4"/>
  <c r="J3" i="4"/>
  <c r="K3" i="4"/>
  <c r="A4" i="4"/>
  <c r="B4" i="4"/>
  <c r="C4" i="4"/>
  <c r="D4" i="4"/>
  <c r="E4" i="4"/>
  <c r="F4" i="4"/>
  <c r="G4" i="4"/>
  <c r="H4" i="4"/>
  <c r="I4" i="4"/>
  <c r="J4" i="4"/>
  <c r="K4" i="4"/>
  <c r="A5" i="4"/>
  <c r="B5" i="4"/>
  <c r="C5" i="4"/>
  <c r="D5" i="4"/>
  <c r="E5" i="4"/>
  <c r="F5" i="4"/>
  <c r="G5" i="4"/>
  <c r="H5" i="4"/>
  <c r="I5" i="4"/>
  <c r="J5" i="4"/>
  <c r="K5" i="4"/>
  <c r="A6" i="4"/>
  <c r="B6" i="4"/>
  <c r="C6" i="4"/>
  <c r="D6" i="4"/>
  <c r="E6" i="4"/>
  <c r="F6" i="4"/>
  <c r="G6" i="4"/>
  <c r="H6" i="4"/>
  <c r="I6" i="4"/>
  <c r="J6" i="4"/>
  <c r="K6" i="4"/>
  <c r="A7" i="4"/>
  <c r="B7" i="4"/>
  <c r="C7" i="4"/>
  <c r="D7" i="4"/>
  <c r="E7" i="4"/>
  <c r="F7" i="4"/>
  <c r="G7" i="4"/>
  <c r="H7" i="4"/>
  <c r="I7" i="4"/>
  <c r="J7" i="4"/>
  <c r="K7" i="4"/>
  <c r="A8" i="4"/>
  <c r="B8" i="4"/>
  <c r="C8" i="4"/>
  <c r="D8" i="4"/>
  <c r="E8" i="4"/>
  <c r="F8" i="4"/>
  <c r="G8" i="4"/>
  <c r="H8" i="4"/>
  <c r="I8" i="4"/>
  <c r="J8" i="4"/>
  <c r="K8" i="4"/>
  <c r="A9" i="4"/>
  <c r="B9" i="4"/>
  <c r="C9" i="4"/>
  <c r="D9" i="4"/>
  <c r="E9" i="4"/>
  <c r="F9" i="4"/>
  <c r="G9" i="4"/>
  <c r="H9" i="4"/>
  <c r="I9" i="4"/>
  <c r="J9" i="4"/>
  <c r="K9" i="4"/>
  <c r="A10" i="4"/>
  <c r="B10" i="4"/>
  <c r="C10" i="4"/>
  <c r="D10" i="4"/>
  <c r="E10" i="4"/>
  <c r="F10" i="4"/>
  <c r="G10" i="4"/>
  <c r="H10" i="4"/>
  <c r="I10" i="4"/>
  <c r="J10" i="4"/>
  <c r="K10" i="4"/>
  <c r="A11" i="4"/>
  <c r="B11" i="4"/>
  <c r="C11" i="4"/>
  <c r="D11" i="4"/>
  <c r="E11" i="4"/>
  <c r="F11" i="4"/>
  <c r="G11" i="4"/>
  <c r="H11" i="4"/>
  <c r="I11" i="4"/>
  <c r="J11" i="4"/>
  <c r="K11" i="4"/>
  <c r="A12" i="4"/>
  <c r="B12" i="4"/>
  <c r="C12" i="4"/>
  <c r="D12" i="4"/>
  <c r="E12" i="4"/>
  <c r="F12" i="4"/>
  <c r="G12" i="4"/>
  <c r="H12" i="4"/>
  <c r="I12" i="4"/>
  <c r="J12" i="4"/>
  <c r="K12" i="4"/>
  <c r="A13" i="4"/>
  <c r="B13" i="4"/>
  <c r="C13" i="4"/>
  <c r="D13" i="4"/>
  <c r="E13" i="4"/>
  <c r="F13" i="4"/>
  <c r="G13" i="4"/>
  <c r="H13" i="4"/>
  <c r="I13" i="4"/>
  <c r="J13" i="4"/>
  <c r="K13" i="4"/>
  <c r="A14" i="4"/>
  <c r="B14" i="4"/>
  <c r="C14" i="4"/>
  <c r="D14" i="4"/>
  <c r="E14" i="4"/>
  <c r="F14" i="4"/>
  <c r="G14" i="4"/>
  <c r="H14" i="4"/>
  <c r="I14" i="4"/>
  <c r="J14" i="4"/>
  <c r="K14" i="4"/>
  <c r="A15" i="4"/>
  <c r="B15" i="4"/>
  <c r="C15" i="4"/>
  <c r="D15" i="4"/>
  <c r="E15" i="4"/>
  <c r="F15" i="4"/>
  <c r="G15" i="4"/>
  <c r="H15" i="4"/>
  <c r="I15" i="4"/>
  <c r="J15" i="4"/>
  <c r="K15" i="4"/>
  <c r="A16" i="4"/>
  <c r="B16" i="4"/>
  <c r="C16" i="4"/>
  <c r="D16" i="4"/>
  <c r="E16" i="4"/>
  <c r="F16" i="4"/>
  <c r="G16" i="4"/>
  <c r="H16" i="4"/>
  <c r="I16" i="4"/>
  <c r="J16" i="4"/>
  <c r="K16" i="4"/>
  <c r="A17" i="4"/>
  <c r="B17" i="4"/>
  <c r="C17" i="4"/>
  <c r="D17" i="4"/>
  <c r="E17" i="4"/>
  <c r="F17" i="4"/>
  <c r="G17" i="4"/>
  <c r="H17" i="4"/>
  <c r="I17" i="4"/>
  <c r="J17" i="4"/>
  <c r="K17" i="4"/>
  <c r="A18" i="4"/>
  <c r="B18" i="4"/>
  <c r="C18" i="4"/>
  <c r="D18" i="4"/>
  <c r="E18" i="4"/>
  <c r="F18" i="4"/>
  <c r="G18" i="4"/>
  <c r="H18" i="4"/>
  <c r="I18" i="4"/>
  <c r="J18" i="4"/>
  <c r="K18" i="4"/>
  <c r="A19" i="4"/>
  <c r="B19" i="4"/>
  <c r="C19" i="4"/>
  <c r="D19" i="4"/>
  <c r="E19" i="4"/>
  <c r="F19" i="4"/>
  <c r="G19" i="4"/>
  <c r="H19" i="4"/>
  <c r="I19" i="4"/>
  <c r="J19" i="4"/>
  <c r="K19" i="4"/>
  <c r="A20" i="4"/>
  <c r="B20" i="4"/>
  <c r="C20" i="4"/>
  <c r="D20" i="4"/>
  <c r="E20" i="4"/>
  <c r="F20" i="4"/>
  <c r="G20" i="4"/>
  <c r="H20" i="4"/>
  <c r="I20" i="4"/>
  <c r="J20" i="4"/>
  <c r="K20" i="4"/>
  <c r="A21" i="4"/>
  <c r="B21" i="4"/>
  <c r="C21" i="4"/>
  <c r="D21" i="4"/>
  <c r="E21" i="4"/>
  <c r="F21" i="4"/>
  <c r="G21" i="4"/>
  <c r="H21" i="4"/>
  <c r="I21" i="4"/>
  <c r="J21" i="4"/>
  <c r="K21" i="4"/>
  <c r="A22" i="4"/>
  <c r="B22" i="4"/>
  <c r="C22" i="4"/>
  <c r="D22" i="4"/>
  <c r="E22" i="4"/>
  <c r="F22" i="4"/>
  <c r="G22" i="4"/>
  <c r="H22" i="4"/>
  <c r="I22" i="4"/>
  <c r="J22" i="4"/>
  <c r="K22" i="4"/>
  <c r="A23" i="4"/>
  <c r="B23" i="4"/>
  <c r="C23" i="4"/>
  <c r="D23" i="4"/>
  <c r="E23" i="4"/>
  <c r="F23" i="4"/>
  <c r="G23" i="4"/>
  <c r="H23" i="4"/>
  <c r="I23" i="4"/>
  <c r="J23" i="4"/>
  <c r="K23" i="4"/>
  <c r="A24" i="4"/>
  <c r="B24" i="4"/>
  <c r="C24" i="4"/>
  <c r="D24" i="4"/>
  <c r="E24" i="4"/>
  <c r="F24" i="4"/>
  <c r="G24" i="4"/>
  <c r="H24" i="4"/>
  <c r="I24" i="4"/>
  <c r="J24" i="4"/>
  <c r="K24" i="4"/>
  <c r="A25" i="4"/>
  <c r="B25" i="4"/>
  <c r="C25" i="4"/>
  <c r="D25" i="4"/>
  <c r="E25" i="4"/>
  <c r="F25" i="4"/>
  <c r="G25" i="4"/>
  <c r="H25" i="4"/>
  <c r="I25" i="4"/>
  <c r="J25" i="4"/>
  <c r="K25" i="4"/>
  <c r="A26" i="4"/>
  <c r="B26" i="4"/>
  <c r="C26" i="4"/>
  <c r="D26" i="4"/>
  <c r="E26" i="4"/>
  <c r="F26" i="4"/>
  <c r="G26" i="4"/>
  <c r="H26" i="4"/>
  <c r="I26" i="4"/>
  <c r="J26" i="4"/>
  <c r="K26" i="4"/>
  <c r="A27" i="4"/>
  <c r="B27" i="4"/>
  <c r="C27" i="4"/>
  <c r="D27" i="4"/>
  <c r="E27" i="4"/>
  <c r="F27" i="4"/>
  <c r="G27" i="4"/>
  <c r="H27" i="4"/>
  <c r="I27" i="4"/>
  <c r="J27" i="4"/>
  <c r="K27" i="4"/>
  <c r="A28" i="4"/>
  <c r="B28" i="4"/>
  <c r="C28" i="4"/>
  <c r="D28" i="4"/>
  <c r="E28" i="4"/>
  <c r="F28" i="4"/>
  <c r="G28" i="4"/>
  <c r="H28" i="4"/>
  <c r="I28" i="4"/>
  <c r="J28" i="4"/>
  <c r="K28" i="4"/>
  <c r="A29" i="4"/>
  <c r="B29" i="4"/>
  <c r="C29" i="4"/>
  <c r="D29" i="4"/>
  <c r="E29" i="4"/>
  <c r="F29" i="4"/>
  <c r="G29" i="4"/>
  <c r="H29" i="4"/>
  <c r="I29" i="4"/>
  <c r="J29" i="4"/>
  <c r="K29" i="4"/>
  <c r="A30" i="4"/>
  <c r="B30" i="4"/>
  <c r="C30" i="4"/>
  <c r="D30" i="4"/>
  <c r="E30" i="4"/>
  <c r="F30" i="4"/>
  <c r="G30" i="4"/>
  <c r="H30" i="4"/>
  <c r="I30" i="4"/>
  <c r="J30" i="4"/>
  <c r="K30" i="4"/>
  <c r="A31" i="4"/>
  <c r="B31" i="4"/>
  <c r="C31" i="4"/>
  <c r="D31" i="4"/>
  <c r="E31" i="4"/>
  <c r="F31" i="4"/>
  <c r="G31" i="4"/>
  <c r="H31" i="4"/>
  <c r="I31" i="4"/>
  <c r="J31" i="4"/>
  <c r="K31" i="4"/>
  <c r="A32" i="4"/>
  <c r="B32" i="4"/>
  <c r="C32" i="4"/>
  <c r="D32" i="4"/>
  <c r="E32" i="4"/>
  <c r="F32" i="4"/>
  <c r="G32" i="4"/>
  <c r="H32" i="4"/>
  <c r="I32" i="4"/>
  <c r="J32" i="4"/>
  <c r="K32" i="4"/>
  <c r="A33" i="4"/>
  <c r="B33" i="4"/>
  <c r="C33" i="4"/>
  <c r="D33" i="4"/>
  <c r="E33" i="4"/>
  <c r="F33" i="4"/>
  <c r="G33" i="4"/>
  <c r="H33" i="4"/>
  <c r="I33" i="4"/>
  <c r="J33" i="4"/>
  <c r="K33" i="4"/>
  <c r="A34" i="4"/>
  <c r="B34" i="4"/>
  <c r="C34" i="4"/>
  <c r="D34" i="4"/>
  <c r="E34" i="4"/>
  <c r="F34" i="4"/>
  <c r="G34" i="4"/>
  <c r="H34" i="4"/>
  <c r="I34" i="4"/>
  <c r="J34" i="4"/>
  <c r="K34" i="4"/>
  <c r="A35" i="4"/>
  <c r="B35" i="4"/>
  <c r="C35" i="4"/>
  <c r="D35" i="4"/>
  <c r="E35" i="4"/>
  <c r="F35" i="4"/>
  <c r="G35" i="4"/>
  <c r="H35" i="4"/>
  <c r="I35" i="4"/>
  <c r="J35" i="4"/>
  <c r="K35" i="4"/>
  <c r="A36" i="4"/>
  <c r="B36" i="4"/>
  <c r="C36" i="4"/>
  <c r="D36" i="4"/>
  <c r="E36" i="4"/>
  <c r="F36" i="4"/>
  <c r="G36" i="4"/>
  <c r="H36" i="4"/>
  <c r="I36" i="4"/>
  <c r="J36" i="4"/>
  <c r="K36" i="4"/>
  <c r="A37" i="4"/>
  <c r="B37" i="4"/>
  <c r="C37" i="4"/>
  <c r="D37" i="4"/>
  <c r="E37" i="4"/>
  <c r="F37" i="4"/>
  <c r="G37" i="4"/>
  <c r="H37" i="4"/>
  <c r="I37" i="4"/>
  <c r="J37" i="4"/>
  <c r="K37" i="4"/>
  <c r="A38" i="4"/>
  <c r="B38" i="4"/>
  <c r="C38" i="4"/>
  <c r="D38" i="4"/>
  <c r="E38" i="4"/>
  <c r="F38" i="4"/>
  <c r="G38" i="4"/>
  <c r="H38" i="4"/>
  <c r="I38" i="4"/>
  <c r="J38" i="4"/>
  <c r="K38" i="4"/>
  <c r="A1" i="3"/>
  <c r="B1" i="3"/>
  <c r="C1" i="3"/>
  <c r="D1" i="3"/>
  <c r="E1" i="3"/>
  <c r="F1" i="3"/>
  <c r="G1" i="3"/>
  <c r="H1" i="3"/>
  <c r="I1" i="3"/>
  <c r="J1" i="3"/>
  <c r="K1" i="3"/>
  <c r="A2" i="3"/>
  <c r="B2" i="3"/>
  <c r="C2" i="3"/>
  <c r="D2" i="3"/>
  <c r="E2" i="3"/>
  <c r="F2" i="3"/>
  <c r="G2" i="3"/>
  <c r="H2" i="3"/>
  <c r="I2" i="3"/>
  <c r="J2" i="3"/>
  <c r="K2" i="3"/>
  <c r="A3" i="3"/>
  <c r="B3" i="3"/>
  <c r="C3" i="3"/>
  <c r="D3" i="3"/>
  <c r="E3" i="3"/>
  <c r="F3" i="3"/>
  <c r="G3" i="3"/>
  <c r="H3" i="3"/>
  <c r="I3" i="3"/>
  <c r="J3" i="3"/>
  <c r="K3" i="3"/>
  <c r="A4" i="3"/>
  <c r="B4" i="3"/>
  <c r="C4" i="3"/>
  <c r="D4" i="3"/>
  <c r="E4" i="3"/>
  <c r="F4" i="3"/>
  <c r="G4" i="3"/>
  <c r="H4" i="3"/>
  <c r="I4" i="3"/>
  <c r="J4" i="3"/>
  <c r="K4" i="3"/>
  <c r="A5" i="3"/>
  <c r="B5" i="3"/>
  <c r="C5" i="3"/>
  <c r="D5" i="3"/>
  <c r="E5" i="3"/>
  <c r="F5" i="3"/>
  <c r="G5" i="3"/>
  <c r="H5" i="3"/>
  <c r="I5" i="3"/>
  <c r="J5" i="3"/>
  <c r="K5" i="3"/>
  <c r="A6" i="3"/>
  <c r="B6" i="3"/>
  <c r="C6" i="3"/>
  <c r="D6" i="3"/>
  <c r="E6" i="3"/>
  <c r="F6" i="3"/>
  <c r="G6" i="3"/>
  <c r="H6" i="3"/>
  <c r="I6" i="3"/>
  <c r="J6" i="3"/>
  <c r="K6" i="3"/>
  <c r="A7" i="3"/>
  <c r="B7" i="3"/>
  <c r="C7" i="3"/>
  <c r="D7" i="3"/>
  <c r="E7" i="3"/>
  <c r="F7" i="3"/>
  <c r="G7" i="3"/>
  <c r="H7" i="3"/>
  <c r="I7" i="3"/>
  <c r="J7" i="3"/>
  <c r="K7" i="3"/>
  <c r="A8" i="3"/>
  <c r="B8" i="3"/>
  <c r="C8" i="3"/>
  <c r="D8" i="3"/>
  <c r="E8" i="3"/>
  <c r="F8" i="3"/>
  <c r="G8" i="3"/>
  <c r="H8" i="3"/>
  <c r="I8" i="3"/>
  <c r="J8" i="3"/>
  <c r="K8" i="3"/>
  <c r="A9" i="3"/>
  <c r="B9" i="3"/>
  <c r="C9" i="3"/>
  <c r="D9" i="3"/>
  <c r="E9" i="3"/>
  <c r="F9" i="3"/>
  <c r="G9" i="3"/>
  <c r="H9" i="3"/>
  <c r="I9" i="3"/>
  <c r="J9" i="3"/>
  <c r="K9" i="3"/>
  <c r="A10" i="3"/>
  <c r="B10" i="3"/>
  <c r="C10" i="3"/>
  <c r="D10" i="3"/>
  <c r="E10" i="3"/>
  <c r="F10" i="3"/>
  <c r="G10" i="3"/>
  <c r="H10" i="3"/>
  <c r="I10" i="3"/>
  <c r="J10" i="3"/>
  <c r="K10" i="3"/>
  <c r="A11" i="3"/>
  <c r="B11" i="3"/>
  <c r="C11" i="3"/>
  <c r="D11" i="3"/>
  <c r="E11" i="3"/>
  <c r="F11" i="3"/>
  <c r="G11" i="3"/>
  <c r="H11" i="3"/>
  <c r="I11" i="3"/>
  <c r="J11" i="3"/>
  <c r="K11" i="3"/>
  <c r="A12" i="3"/>
  <c r="B12" i="3"/>
  <c r="C12" i="3"/>
  <c r="D12" i="3"/>
  <c r="E12" i="3"/>
  <c r="F12" i="3"/>
  <c r="G12" i="3"/>
  <c r="H12" i="3"/>
  <c r="I12" i="3"/>
  <c r="J12" i="3"/>
  <c r="K12" i="3"/>
  <c r="A13" i="3"/>
  <c r="B13" i="3"/>
  <c r="C13" i="3"/>
  <c r="D13" i="3"/>
  <c r="E13" i="3"/>
  <c r="F13" i="3"/>
  <c r="G13" i="3"/>
  <c r="H13" i="3"/>
  <c r="I13" i="3"/>
  <c r="J13" i="3"/>
  <c r="K13" i="3"/>
  <c r="A14" i="3"/>
  <c r="B14" i="3"/>
  <c r="C14" i="3"/>
  <c r="D14" i="3"/>
  <c r="E14" i="3"/>
  <c r="F14" i="3"/>
  <c r="G14" i="3"/>
  <c r="H14" i="3"/>
  <c r="I14" i="3"/>
  <c r="J14" i="3"/>
  <c r="K14" i="3"/>
  <c r="A15" i="3"/>
  <c r="B15" i="3"/>
  <c r="C15" i="3"/>
  <c r="D15" i="3"/>
  <c r="E15" i="3"/>
  <c r="F15" i="3"/>
  <c r="G15" i="3"/>
  <c r="H15" i="3"/>
  <c r="I15" i="3"/>
  <c r="J15" i="3"/>
  <c r="K15" i="3"/>
  <c r="A16" i="3"/>
  <c r="B16" i="3"/>
  <c r="C16" i="3"/>
  <c r="D16" i="3"/>
  <c r="E16" i="3"/>
  <c r="F16" i="3"/>
  <c r="G16" i="3"/>
  <c r="H16" i="3"/>
  <c r="I16" i="3"/>
  <c r="J16" i="3"/>
  <c r="K16" i="3"/>
  <c r="A17" i="3"/>
  <c r="B17" i="3"/>
  <c r="C17" i="3"/>
  <c r="D17" i="3"/>
  <c r="E17" i="3"/>
  <c r="F17" i="3"/>
  <c r="G17" i="3"/>
  <c r="H17" i="3"/>
  <c r="I17" i="3"/>
  <c r="J17" i="3"/>
  <c r="K17" i="3"/>
  <c r="A18" i="3"/>
  <c r="B18" i="3"/>
  <c r="C18" i="3"/>
  <c r="D18" i="3"/>
  <c r="E18" i="3"/>
  <c r="F18" i="3"/>
  <c r="G18" i="3"/>
  <c r="H18" i="3"/>
  <c r="I18" i="3"/>
  <c r="J18" i="3"/>
  <c r="K18" i="3"/>
  <c r="A19" i="3"/>
  <c r="B19" i="3"/>
  <c r="C19" i="3"/>
  <c r="D19" i="3"/>
  <c r="E19" i="3"/>
  <c r="F19" i="3"/>
  <c r="G19" i="3"/>
  <c r="H19" i="3"/>
  <c r="I19" i="3"/>
  <c r="J19" i="3"/>
  <c r="K19" i="3"/>
  <c r="A20" i="3"/>
  <c r="B20" i="3"/>
  <c r="C20" i="3"/>
  <c r="D20" i="3"/>
  <c r="E20" i="3"/>
  <c r="F20" i="3"/>
  <c r="G20" i="3"/>
  <c r="H20" i="3"/>
  <c r="I20" i="3"/>
  <c r="J20" i="3"/>
  <c r="K20" i="3"/>
  <c r="A21" i="3"/>
  <c r="B21" i="3"/>
  <c r="C21" i="3"/>
  <c r="D21" i="3"/>
  <c r="E21" i="3"/>
  <c r="F21" i="3"/>
  <c r="G21" i="3"/>
  <c r="H21" i="3"/>
  <c r="I21" i="3"/>
  <c r="J21" i="3"/>
  <c r="K21" i="3"/>
  <c r="A22" i="3"/>
  <c r="B22" i="3"/>
  <c r="C22" i="3"/>
  <c r="D22" i="3"/>
  <c r="E22" i="3"/>
  <c r="F22" i="3"/>
  <c r="G22" i="3"/>
  <c r="H22" i="3"/>
  <c r="I22" i="3"/>
  <c r="J22" i="3"/>
  <c r="K22" i="3"/>
  <c r="A23" i="3"/>
  <c r="B23" i="3"/>
  <c r="C23" i="3"/>
  <c r="D23" i="3"/>
  <c r="E23" i="3"/>
  <c r="F23" i="3"/>
  <c r="G23" i="3"/>
  <c r="H23" i="3"/>
  <c r="I23" i="3"/>
  <c r="J23" i="3"/>
  <c r="K23" i="3"/>
  <c r="A24" i="3"/>
  <c r="B24" i="3"/>
  <c r="C24" i="3"/>
  <c r="D24" i="3"/>
  <c r="E24" i="3"/>
  <c r="F24" i="3"/>
  <c r="G24" i="3"/>
  <c r="H24" i="3"/>
  <c r="I24" i="3"/>
  <c r="J24" i="3"/>
  <c r="K24" i="3"/>
  <c r="A25" i="3"/>
  <c r="B25" i="3"/>
  <c r="C25" i="3"/>
  <c r="D25" i="3"/>
  <c r="E25" i="3"/>
  <c r="F25" i="3"/>
  <c r="G25" i="3"/>
  <c r="H25" i="3"/>
  <c r="I25" i="3"/>
  <c r="J25" i="3"/>
  <c r="K25" i="3"/>
  <c r="A26" i="3"/>
  <c r="B26" i="3"/>
  <c r="C26" i="3"/>
  <c r="D26" i="3"/>
  <c r="E26" i="3"/>
  <c r="F26" i="3"/>
  <c r="G26" i="3"/>
  <c r="H26" i="3"/>
  <c r="I26" i="3"/>
  <c r="J26" i="3"/>
  <c r="K26" i="3"/>
  <c r="A27" i="3"/>
  <c r="B27" i="3"/>
  <c r="C27" i="3"/>
  <c r="D27" i="3"/>
  <c r="E27" i="3"/>
  <c r="F27" i="3"/>
  <c r="G27" i="3"/>
  <c r="H27" i="3"/>
  <c r="I27" i="3"/>
  <c r="J27" i="3"/>
  <c r="K27" i="3"/>
  <c r="A28" i="3"/>
  <c r="B28" i="3"/>
  <c r="C28" i="3"/>
  <c r="D28" i="3"/>
  <c r="E28" i="3"/>
  <c r="F28" i="3"/>
  <c r="G28" i="3"/>
  <c r="H28" i="3"/>
  <c r="I28" i="3"/>
  <c r="J28" i="3"/>
  <c r="K28" i="3"/>
  <c r="A29" i="3"/>
  <c r="B29" i="3"/>
  <c r="C29" i="3"/>
  <c r="D29" i="3"/>
  <c r="E29" i="3"/>
  <c r="F29" i="3"/>
  <c r="G29" i="3"/>
  <c r="H29" i="3"/>
  <c r="I29" i="3"/>
  <c r="J29" i="3"/>
  <c r="K29" i="3"/>
  <c r="A30" i="3"/>
  <c r="B30" i="3"/>
  <c r="C30" i="3"/>
  <c r="D30" i="3"/>
  <c r="E30" i="3"/>
  <c r="F30" i="3"/>
  <c r="G30" i="3"/>
  <c r="H30" i="3"/>
  <c r="I30" i="3"/>
  <c r="J30" i="3"/>
  <c r="K30" i="3"/>
  <c r="A31" i="3"/>
  <c r="B31" i="3"/>
  <c r="C31" i="3"/>
  <c r="D31" i="3"/>
  <c r="E31" i="3"/>
  <c r="F31" i="3"/>
  <c r="G31" i="3"/>
  <c r="H31" i="3"/>
  <c r="I31" i="3"/>
  <c r="J31" i="3"/>
  <c r="K31" i="3"/>
  <c r="A32" i="3"/>
  <c r="B32" i="3"/>
  <c r="C32" i="3"/>
  <c r="D32" i="3"/>
  <c r="E32" i="3"/>
  <c r="F32" i="3"/>
  <c r="G32" i="3"/>
  <c r="H32" i="3"/>
  <c r="I32" i="3"/>
  <c r="J32" i="3"/>
  <c r="K32" i="3"/>
  <c r="A33" i="3"/>
  <c r="B33" i="3"/>
  <c r="C33" i="3"/>
  <c r="D33" i="3"/>
  <c r="E33" i="3"/>
  <c r="F33" i="3"/>
  <c r="G33" i="3"/>
  <c r="H33" i="3"/>
  <c r="I33" i="3"/>
  <c r="J33" i="3"/>
  <c r="K33" i="3"/>
  <c r="A34" i="3"/>
  <c r="B34" i="3"/>
  <c r="C34" i="3"/>
  <c r="D34" i="3"/>
  <c r="E34" i="3"/>
  <c r="F34" i="3"/>
  <c r="G34" i="3"/>
  <c r="H34" i="3"/>
  <c r="I34" i="3"/>
  <c r="J34" i="3"/>
  <c r="K34" i="3"/>
  <c r="A35" i="3"/>
  <c r="B35" i="3"/>
  <c r="C35" i="3"/>
  <c r="D35" i="3"/>
  <c r="E35" i="3"/>
  <c r="F35" i="3"/>
  <c r="G35" i="3"/>
  <c r="H35" i="3"/>
  <c r="I35" i="3"/>
  <c r="J35" i="3"/>
  <c r="K35" i="3"/>
  <c r="A36" i="3"/>
  <c r="B36" i="3"/>
  <c r="C36" i="3"/>
  <c r="D36" i="3"/>
  <c r="E36" i="3"/>
  <c r="F36" i="3"/>
  <c r="G36" i="3"/>
  <c r="H36" i="3"/>
  <c r="I36" i="3"/>
  <c r="J36" i="3"/>
  <c r="K36" i="3"/>
  <c r="A37" i="3"/>
  <c r="B37" i="3"/>
  <c r="C37" i="3"/>
  <c r="D37" i="3"/>
  <c r="E37" i="3"/>
  <c r="F37" i="3"/>
  <c r="G37" i="3"/>
  <c r="H37" i="3"/>
  <c r="I37" i="3"/>
  <c r="J37" i="3"/>
  <c r="K37" i="3"/>
  <c r="A38" i="3"/>
  <c r="B38" i="3"/>
  <c r="C38" i="3"/>
  <c r="D38" i="3"/>
  <c r="E38" i="3"/>
  <c r="F38" i="3"/>
  <c r="G38" i="3"/>
  <c r="H38" i="3"/>
  <c r="I38" i="3"/>
  <c r="J38" i="3"/>
  <c r="K38" i="3"/>
  <c r="A39" i="3"/>
  <c r="B39" i="3"/>
  <c r="C39" i="3"/>
  <c r="D39" i="3"/>
  <c r="E39" i="3"/>
  <c r="F39" i="3"/>
  <c r="G39" i="3"/>
  <c r="H39" i="3"/>
  <c r="I39" i="3"/>
  <c r="J39" i="3"/>
  <c r="K39" i="3"/>
  <c r="A40" i="3"/>
  <c r="B40" i="3"/>
  <c r="C40" i="3"/>
  <c r="D40" i="3"/>
  <c r="E40" i="3"/>
  <c r="F40" i="3"/>
  <c r="G40" i="3"/>
  <c r="H40" i="3"/>
  <c r="I40" i="3"/>
  <c r="J40" i="3"/>
  <c r="K40" i="3"/>
  <c r="A41" i="3"/>
  <c r="B41" i="3"/>
  <c r="C41" i="3"/>
  <c r="D41" i="3"/>
  <c r="E41" i="3"/>
  <c r="F41" i="3"/>
  <c r="G41" i="3"/>
  <c r="H41" i="3"/>
  <c r="I41" i="3"/>
  <c r="J41" i="3"/>
  <c r="K41" i="3"/>
  <c r="A42" i="3"/>
  <c r="B42" i="3"/>
  <c r="C42" i="3"/>
  <c r="D42" i="3"/>
  <c r="E42" i="3"/>
  <c r="F42" i="3"/>
  <c r="G42" i="3"/>
  <c r="H42" i="3"/>
  <c r="I42" i="3"/>
  <c r="J42" i="3"/>
  <c r="K42" i="3"/>
  <c r="A43" i="3"/>
  <c r="B43" i="3"/>
  <c r="C43" i="3"/>
  <c r="D43" i="3"/>
  <c r="E43" i="3"/>
  <c r="F43" i="3"/>
  <c r="G43" i="3"/>
  <c r="H43" i="3"/>
  <c r="I43" i="3"/>
  <c r="J43" i="3"/>
  <c r="K43" i="3"/>
  <c r="A44" i="3"/>
  <c r="B44" i="3"/>
  <c r="C44" i="3"/>
  <c r="D44" i="3"/>
  <c r="E44" i="3"/>
  <c r="F44" i="3"/>
  <c r="G44" i="3"/>
  <c r="H44" i="3"/>
  <c r="I44" i="3"/>
  <c r="J44" i="3"/>
  <c r="K44" i="3"/>
  <c r="U2" i="1" l="1"/>
</calcChain>
</file>

<file path=xl/sharedStrings.xml><?xml version="1.0" encoding="utf-8"?>
<sst xmlns="http://schemas.openxmlformats.org/spreadsheetml/2006/main" count="126" uniqueCount="46">
  <si>
    <t>Covariate</t>
  </si>
  <si>
    <t>n</t>
  </si>
  <si>
    <t>mean</t>
  </si>
  <si>
    <t>med</t>
  </si>
  <si>
    <t>sd</t>
  </si>
  <si>
    <t>max</t>
  </si>
  <si>
    <t>sum</t>
  </si>
  <si>
    <t>coef</t>
  </si>
  <si>
    <t>Full</t>
  </si>
  <si>
    <t>pval_txt</t>
  </si>
  <si>
    <t>&lt;0.001</t>
  </si>
  <si>
    <t>P-value</t>
  </si>
  <si>
    <t>Intercept</t>
  </si>
  <si>
    <t>Species</t>
  </si>
  <si>
    <t>Reason</t>
  </si>
  <si>
    <t>Year</t>
  </si>
  <si>
    <t>Estimate</t>
  </si>
  <si>
    <t>Parameter</t>
  </si>
  <si>
    <t xml:space="preserve">     Pork</t>
  </si>
  <si>
    <t xml:space="preserve">     Listeria</t>
  </si>
  <si>
    <t xml:space="preserve">     Extraneous material</t>
  </si>
  <si>
    <t>Recall Class</t>
  </si>
  <si>
    <t>Season</t>
  </si>
  <si>
    <t>ref</t>
  </si>
  <si>
    <t xml:space="preserve">     Class I</t>
  </si>
  <si>
    <t xml:space="preserve">     Class II</t>
  </si>
  <si>
    <t xml:space="preserve">     Class III</t>
  </si>
  <si>
    <t xml:space="preserve">     None Assigned</t>
  </si>
  <si>
    <t xml:space="preserve">     beef</t>
  </si>
  <si>
    <t xml:space="preserve">     mixed</t>
  </si>
  <si>
    <t xml:space="preserve">     pork</t>
  </si>
  <si>
    <t xml:space="preserve">     poultry</t>
  </si>
  <si>
    <t xml:space="preserve">     Undeclared Allergen</t>
  </si>
  <si>
    <t xml:space="preserve">     STEC</t>
  </si>
  <si>
    <t xml:space="preserve">     Other</t>
  </si>
  <si>
    <t xml:space="preserve">     Extraneous Material</t>
  </si>
  <si>
    <t xml:space="preserve">     Processing Defect</t>
  </si>
  <si>
    <t xml:space="preserve">     Undeclared Substance</t>
  </si>
  <si>
    <t xml:space="preserve">     Salmonella</t>
  </si>
  <si>
    <t xml:space="preserve">     Autumn</t>
  </si>
  <si>
    <t xml:space="preserve">     Spring</t>
  </si>
  <si>
    <t xml:space="preserve">     Summer</t>
  </si>
  <si>
    <t xml:space="preserve">     Winter</t>
  </si>
  <si>
    <t>na</t>
  </si>
  <si>
    <t>diff</t>
  </si>
  <si>
    <t xml:space="preserve">in all categories, the largest recall was 10% + of the 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</si>
</sst>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Border="1"/>
    <xf numFmtId="164" fontId="0" fillId="0" borderId="0" xfId="0" applyNumberFormat="1" applyBorder="1" applyAlignment="1">
      <alignment horizontal="right"/>
    </xf>
    <xf numFmtId="0" fontId="0" fillId="0" borderId="10" xfId="0" applyBorder="1"/>
    <xf numFmtId="164" fontId="0" fillId="0" borderId="10" xfId="0" applyNumberFormat="1" applyBorder="1" applyAlignment="1">
      <alignment horizontal="right"/>
    </xf>
    <xf numFmtId="0" fontId="0" fillId="0" borderId="11" xfId="0" applyBorder="1"/>
    <xf numFmtId="0" fontId="0" fillId="0" borderId="11" xfId="0" applyBorder="1" applyAlignment="1">
      <alignment horizontal="right"/>
    </xf>
    <xf numFmtId="0" fontId="0" fillId="0" borderId="0" xfId="0" applyFill="1" applyBorder="1"/>
    <xf numFmtId="165" fontId="0" fillId="0" borderId="0" xfId="0" applyNumberFormat="1" applyBorder="1" applyAlignment="1">
      <alignment horizontal="right"/>
    </xf>
    <xf numFmtId="2" fontId="0" fillId="0" borderId="0" xfId="0" applyNumberFormat="1" applyBorder="1" applyAlignment="1">
      <alignment horizontal="right"/>
    </xf>
    <xf numFmtId="11" fontId="0" fillId="0" borderId="0" xfId="0" applyNumberFormat="1"/>
    <xf numFmtId="0" fontId="0" fillId="0" borderId="0" xfId="0" applyBorder="1" applyAlignment="1">
      <alignment horizontal="right"/>
    </xf>
    <xf numFmtId="2" fontId="0" fillId="0" borderId="0" xfId="0" applyNumberFormat="1" applyAlignment="1">
      <alignment horizontal="right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1-Basic%20Desc%20Stats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1-Basic%20Desc%20Stats-recovered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1-Basic Desc Stats"/>
    </sheetNames>
    <sheetDataSet>
      <sheetData sheetId="0">
        <row r="1">
          <cell r="B1" t="str">
            <v>Covariate</v>
          </cell>
          <cell r="C1" t="str">
            <v>n</v>
          </cell>
          <cell r="D1" t="str">
            <v>mean</v>
          </cell>
          <cell r="E1" t="str">
            <v>med</v>
          </cell>
          <cell r="F1" t="str">
            <v>sd</v>
          </cell>
          <cell r="G1" t="str">
            <v>max</v>
          </cell>
          <cell r="H1" t="str">
            <v>sum</v>
          </cell>
          <cell r="I1" t="str">
            <v>coef</v>
          </cell>
          <cell r="J1" t="str">
            <v>pval</v>
          </cell>
          <cell r="K1" t="str">
            <v>pval_txt</v>
          </cell>
        </row>
        <row r="2">
          <cell r="A2">
            <v>1</v>
          </cell>
          <cell r="B2" t="str">
            <v>Full</v>
          </cell>
          <cell r="C2">
            <v>1515</v>
          </cell>
          <cell r="D2">
            <v>3.8257936536278199</v>
          </cell>
          <cell r="E2">
            <v>3.7994094796151301</v>
          </cell>
          <cell r="F2">
            <v>1.2282719961606099</v>
          </cell>
          <cell r="G2">
            <v>8.1565001586972006</v>
          </cell>
          <cell r="H2">
            <v>8.8415389015103507</v>
          </cell>
          <cell r="I2" t="str">
            <v>NA</v>
          </cell>
          <cell r="J2" t="str">
            <v>NA</v>
          </cell>
          <cell r="K2" t="str">
            <v>NA</v>
          </cell>
        </row>
        <row r="3">
          <cell r="A3">
            <v>2</v>
          </cell>
          <cell r="B3" t="str">
            <v>Class I</v>
          </cell>
          <cell r="C3">
            <v>1075</v>
          </cell>
          <cell r="D3">
            <v>3.7299871858402298</v>
          </cell>
          <cell r="E3">
            <v>3.6549910294116601</v>
          </cell>
          <cell r="F3">
            <v>1.28560241893969</v>
          </cell>
          <cell r="G3">
            <v>7.9237619660050296</v>
          </cell>
          <cell r="H3">
            <v>8.7032525581969509</v>
          </cell>
          <cell r="I3">
            <v>3.7299871858402298</v>
          </cell>
          <cell r="J3">
            <v>1.8991818055202498E-5</v>
          </cell>
          <cell r="K3" t="str">
            <v>&lt;0.001</v>
          </cell>
        </row>
        <row r="4">
          <cell r="A4">
            <v>3</v>
          </cell>
          <cell r="B4" t="str">
            <v>Class II</v>
          </cell>
          <cell r="C4">
            <v>313</v>
          </cell>
          <cell r="D4">
            <v>4.0901464123489601</v>
          </cell>
          <cell r="E4">
            <v>4.1238842934600104</v>
          </cell>
          <cell r="F4">
            <v>1.02079595924387</v>
          </cell>
          <cell r="G4">
            <v>8.1565001586972006</v>
          </cell>
          <cell r="H4">
            <v>8.2492025584052993</v>
          </cell>
          <cell r="I4">
            <v>0.360159226508734</v>
          </cell>
          <cell r="J4">
            <v>6.5221044341092998E-6</v>
          </cell>
          <cell r="K4" t="str">
            <v>&lt;0.001</v>
          </cell>
        </row>
        <row r="5">
          <cell r="A5">
            <v>4</v>
          </cell>
          <cell r="B5" t="str">
            <v>Class III</v>
          </cell>
          <cell r="C5">
            <v>119</v>
          </cell>
          <cell r="D5">
            <v>3.9535500226974598</v>
          </cell>
          <cell r="E5">
            <v>3.9777693180915699</v>
          </cell>
          <cell r="F5">
            <v>1.0777662889317099</v>
          </cell>
          <cell r="G5">
            <v>6.4281349560789396</v>
          </cell>
          <cell r="H5">
            <v>7.0353361446441403</v>
          </cell>
          <cell r="I5">
            <v>0.223562836857226</v>
          </cell>
          <cell r="J5">
            <v>6.4452138986322502E-2</v>
          </cell>
          <cell r="K5">
            <v>6.4000000000000001E-2</v>
          </cell>
        </row>
        <row r="6">
          <cell r="A6">
            <v>5</v>
          </cell>
          <cell r="B6" t="str">
            <v>None Assigned</v>
          </cell>
          <cell r="C6">
            <v>8</v>
          </cell>
          <cell r="D6">
            <v>4.8040974276308397</v>
          </cell>
          <cell r="E6">
            <v>4.8207457806775604</v>
          </cell>
          <cell r="F6">
            <v>0.71930510097815803</v>
          </cell>
          <cell r="G6">
            <v>5.7573967880484496</v>
          </cell>
          <cell r="H6">
            <v>5.99235377596953</v>
          </cell>
          <cell r="I6" t="str">
            <v>NA</v>
          </cell>
          <cell r="J6" t="str">
            <v>NA</v>
          </cell>
          <cell r="K6" t="str">
            <v>NA</v>
          </cell>
        </row>
        <row r="7">
          <cell r="A7">
            <v>6</v>
          </cell>
          <cell r="B7" t="str">
            <v>beef</v>
          </cell>
          <cell r="C7">
            <v>485</v>
          </cell>
          <cell r="D7">
            <v>3.8838026675025401</v>
          </cell>
          <cell r="E7">
            <v>3.7952541825808801</v>
          </cell>
          <cell r="F7">
            <v>1.3258162166994301</v>
          </cell>
          <cell r="G7">
            <v>8.1565001586972006</v>
          </cell>
          <cell r="H7">
            <v>8.4754044568822895</v>
          </cell>
          <cell r="I7">
            <v>3.8838026675025499</v>
          </cell>
          <cell r="J7">
            <v>5.0695394302303605E-4</v>
          </cell>
          <cell r="K7" t="str">
            <v>&lt;0.001</v>
          </cell>
        </row>
        <row r="8">
          <cell r="A8">
            <v>7</v>
          </cell>
          <cell r="B8" t="str">
            <v>mixed</v>
          </cell>
          <cell r="C8">
            <v>485</v>
          </cell>
          <cell r="D8">
            <v>3.78507503391925</v>
          </cell>
          <cell r="E8">
            <v>3.7842403255375099</v>
          </cell>
          <cell r="F8">
            <v>1.2386107096041099</v>
          </cell>
          <cell r="G8">
            <v>7.9237619660050296</v>
          </cell>
          <cell r="H8">
            <v>8.4049335227789097</v>
          </cell>
          <cell r="I8">
            <v>-9.8727633583291202E-2</v>
          </cell>
          <cell r="J8">
            <v>0.21700940982856101</v>
          </cell>
          <cell r="K8">
            <v>0.217</v>
          </cell>
        </row>
        <row r="9">
          <cell r="A9">
            <v>8</v>
          </cell>
          <cell r="B9" t="str">
            <v>pork</v>
          </cell>
          <cell r="C9">
            <v>203</v>
          </cell>
          <cell r="D9">
            <v>3.5342387890562099</v>
          </cell>
          <cell r="E9">
            <v>3.55642312137129</v>
          </cell>
          <cell r="F9">
            <v>1.03855004479665</v>
          </cell>
          <cell r="G9">
            <v>6.4281349560789396</v>
          </cell>
          <cell r="H9">
            <v>6.9275766295949301</v>
          </cell>
          <cell r="I9">
            <v>-0.34956387844634201</v>
          </cell>
          <cell r="J9">
            <v>7.3574230432733E-4</v>
          </cell>
          <cell r="K9" t="str">
            <v>&lt;0.001</v>
          </cell>
        </row>
        <row r="10">
          <cell r="A10">
            <v>9</v>
          </cell>
          <cell r="B10" t="str">
            <v>poultry</v>
          </cell>
          <cell r="C10">
            <v>342</v>
          </cell>
          <cell r="D10">
            <v>3.9733847609478601</v>
          </cell>
          <cell r="E10">
            <v>4.0164059854267498</v>
          </cell>
          <cell r="F10">
            <v>1.14551105590958</v>
          </cell>
          <cell r="G10">
            <v>7.5563025128310199</v>
          </cell>
          <cell r="H10">
            <v>8.1236817169520794</v>
          </cell>
          <cell r="I10">
            <v>8.9582093445313205E-2</v>
          </cell>
          <cell r="J10">
            <v>0.30483852943859302</v>
          </cell>
          <cell r="K10">
            <v>0.30499999999999999</v>
          </cell>
        </row>
        <row r="11">
          <cell r="A11">
            <v>10</v>
          </cell>
          <cell r="B11" t="str">
            <v>Undeclared Allergen</v>
          </cell>
          <cell r="C11">
            <v>332</v>
          </cell>
          <cell r="D11">
            <v>3.8843887226903901</v>
          </cell>
          <cell r="E11">
            <v>3.8989792997464199</v>
          </cell>
          <cell r="F11">
            <v>1.02977038575803</v>
          </cell>
          <cell r="G11">
            <v>6.9577693391620903</v>
          </cell>
          <cell r="H11">
            <v>7.54494994492525</v>
          </cell>
          <cell r="I11">
            <v>3.8843887226903999</v>
          </cell>
          <cell r="J11">
            <v>2.0541341487908399E-23</v>
          </cell>
          <cell r="K11" t="str">
            <v>&lt;0.001</v>
          </cell>
        </row>
        <row r="12">
          <cell r="A12">
            <v>11</v>
          </cell>
          <cell r="B12" t="str">
            <v>STEC</v>
          </cell>
          <cell r="C12">
            <v>270</v>
          </cell>
          <cell r="D12">
            <v>3.9559048068827098</v>
          </cell>
          <cell r="E12">
            <v>4.02073779597856</v>
          </cell>
          <cell r="F12">
            <v>1.4020735466337699</v>
          </cell>
          <cell r="G12">
            <v>7.3979400260438197</v>
          </cell>
          <cell r="H12">
            <v>8.1036176218097999</v>
          </cell>
          <cell r="I12">
            <v>7.1516084192317794E-2</v>
          </cell>
          <cell r="J12">
            <v>0.466099204342657</v>
          </cell>
          <cell r="K12">
            <v>0.46600000000000003</v>
          </cell>
        </row>
        <row r="13">
          <cell r="A13">
            <v>12</v>
          </cell>
          <cell r="B13" t="str">
            <v>Extraneous Material</v>
          </cell>
          <cell r="C13">
            <v>143</v>
          </cell>
          <cell r="D13">
            <v>4.3667554142000604</v>
          </cell>
          <cell r="E13">
            <v>4.3518349434774404</v>
          </cell>
          <cell r="F13">
            <v>0.84786373615413602</v>
          </cell>
          <cell r="G13">
            <v>6.6362207180647603</v>
          </cell>
          <cell r="H13">
            <v>7.2727624255004599</v>
          </cell>
          <cell r="I13">
            <v>0.48236669150967698</v>
          </cell>
          <cell r="J13">
            <v>5.4019150431972698E-5</v>
          </cell>
          <cell r="K13" t="str">
            <v>&lt;0.001</v>
          </cell>
        </row>
        <row r="14">
          <cell r="A14">
            <v>13</v>
          </cell>
          <cell r="B14" t="str">
            <v>Listeria</v>
          </cell>
          <cell r="C14">
            <v>327</v>
          </cell>
          <cell r="D14">
            <v>3.2255872305392499</v>
          </cell>
          <cell r="E14">
            <v>3.0715138050950901</v>
          </cell>
          <cell r="F14">
            <v>1.22559378080125</v>
          </cell>
          <cell r="G14">
            <v>7.5440680567586904</v>
          </cell>
          <cell r="H14">
            <v>8.17422290078113</v>
          </cell>
          <cell r="I14">
            <v>-0.65880149215114103</v>
          </cell>
          <cell r="J14">
            <v>1.8414909431054599E-12</v>
          </cell>
          <cell r="K14" t="str">
            <v>&lt;0.001</v>
          </cell>
        </row>
        <row r="15">
          <cell r="A15">
            <v>14</v>
          </cell>
          <cell r="B15" t="str">
            <v>Other</v>
          </cell>
          <cell r="C15">
            <v>234</v>
          </cell>
          <cell r="D15">
            <v>3.8930493584333798</v>
          </cell>
          <cell r="E15">
            <v>3.8345750248434101</v>
          </cell>
          <cell r="F15">
            <v>1.09977632086641</v>
          </cell>
          <cell r="G15">
            <v>8.1565001586972006</v>
          </cell>
          <cell r="H15">
            <v>8.2292491596302995</v>
          </cell>
          <cell r="I15">
            <v>8.6606357429922197E-3</v>
          </cell>
          <cell r="J15">
            <v>0.933276746913134</v>
          </cell>
          <cell r="K15">
            <v>0.93300000000000005</v>
          </cell>
        </row>
        <row r="16">
          <cell r="A16">
            <v>15</v>
          </cell>
          <cell r="B16" t="str">
            <v>Processing Defect</v>
          </cell>
          <cell r="C16">
            <v>76</v>
          </cell>
          <cell r="D16">
            <v>4.0348281528246499</v>
          </cell>
          <cell r="E16">
            <v>4.0939320658516998</v>
          </cell>
          <cell r="F16">
            <v>1.0695112482892699</v>
          </cell>
          <cell r="G16">
            <v>7.3364597538621004</v>
          </cell>
          <cell r="H16">
            <v>7.6236235529726404</v>
          </cell>
          <cell r="I16">
            <v>0.15043943013426</v>
          </cell>
          <cell r="J16">
            <v>0.31761058531837599</v>
          </cell>
          <cell r="K16">
            <v>0.318</v>
          </cell>
        </row>
        <row r="17">
          <cell r="A17">
            <v>16</v>
          </cell>
          <cell r="B17" t="str">
            <v>Salmonella</v>
          </cell>
          <cell r="C17">
            <v>65</v>
          </cell>
          <cell r="D17">
            <v>4.1025366985192102</v>
          </cell>
          <cell r="E17">
            <v>4.1335708406140403</v>
          </cell>
          <cell r="F17">
            <v>1.59554064297508</v>
          </cell>
          <cell r="G17">
            <v>7.9237619660050296</v>
          </cell>
          <cell r="H17">
            <v>8.1516139795518203</v>
          </cell>
          <cell r="I17">
            <v>0.21814797582881701</v>
          </cell>
          <cell r="J17">
            <v>0.18577232121659201</v>
          </cell>
          <cell r="K17">
            <v>0.186</v>
          </cell>
        </row>
        <row r="18">
          <cell r="A18">
            <v>17</v>
          </cell>
          <cell r="B18" t="str">
            <v>Undeclared Substance</v>
          </cell>
          <cell r="C18">
            <v>68</v>
          </cell>
          <cell r="D18">
            <v>4.11607719980399</v>
          </cell>
          <cell r="E18">
            <v>4.2506883036457204</v>
          </cell>
          <cell r="F18">
            <v>1.23212491073176</v>
          </cell>
          <cell r="G18">
            <v>6.4281349560789396</v>
          </cell>
          <cell r="H18">
            <v>7.0345235395799204</v>
          </cell>
          <cell r="I18">
            <v>0.231688477113594</v>
          </cell>
          <cell r="J18">
            <v>0.15432791605565199</v>
          </cell>
          <cell r="K18">
            <v>0.154</v>
          </cell>
        </row>
        <row r="19">
          <cell r="A19">
            <v>18</v>
          </cell>
          <cell r="B19" t="str">
            <v>Autumn</v>
          </cell>
          <cell r="C19">
            <v>382</v>
          </cell>
          <cell r="D19">
            <v>3.8294741596160402</v>
          </cell>
          <cell r="E19">
            <v>3.78674933498404</v>
          </cell>
          <cell r="F19">
            <v>1.2599699103851201</v>
          </cell>
          <cell r="G19">
            <v>7.9237619660050296</v>
          </cell>
          <cell r="H19">
            <v>8.3580162219715994</v>
          </cell>
          <cell r="I19">
            <v>3.82947415961605</v>
          </cell>
          <cell r="J19">
            <v>0.41762695887111301</v>
          </cell>
          <cell r="K19">
            <v>0.41799999999999998</v>
          </cell>
        </row>
        <row r="20">
          <cell r="A20">
            <v>19</v>
          </cell>
          <cell r="B20" t="str">
            <v>Spring</v>
          </cell>
          <cell r="C20">
            <v>381</v>
          </cell>
          <cell r="D20">
            <v>3.7829856168683</v>
          </cell>
          <cell r="E20">
            <v>3.8085204734028202</v>
          </cell>
          <cell r="F20">
            <v>1.21849487746826</v>
          </cell>
          <cell r="G20">
            <v>7.1760912880086503</v>
          </cell>
          <cell r="H20">
            <v>7.9829602779151703</v>
          </cell>
          <cell r="I20">
            <v>-4.6488542747736998E-2</v>
          </cell>
          <cell r="J20">
            <v>0.60681235351694895</v>
          </cell>
          <cell r="K20">
            <v>0.60699999999999998</v>
          </cell>
        </row>
        <row r="21">
          <cell r="A21">
            <v>20</v>
          </cell>
          <cell r="B21" t="str">
            <v>Summer</v>
          </cell>
          <cell r="C21">
            <v>382</v>
          </cell>
          <cell r="D21">
            <v>3.7797749088806198</v>
          </cell>
          <cell r="E21">
            <v>3.77063112777781</v>
          </cell>
          <cell r="F21">
            <v>1.28500818769518</v>
          </cell>
          <cell r="G21">
            <v>7.5563025128310199</v>
          </cell>
          <cell r="H21">
            <v>8.1511787983455104</v>
          </cell>
          <cell r="I21">
            <v>-4.9699250735420801E-2</v>
          </cell>
          <cell r="J21">
            <v>0.58295660105752101</v>
          </cell>
          <cell r="K21">
            <v>0.58299999999999996</v>
          </cell>
        </row>
        <row r="22">
          <cell r="A22">
            <v>21</v>
          </cell>
          <cell r="B22" t="str">
            <v>Winter</v>
          </cell>
          <cell r="C22">
            <v>370</v>
          </cell>
          <cell r="D22">
            <v>3.91419503206121</v>
          </cell>
          <cell r="E22">
            <v>3.8627870982353398</v>
          </cell>
          <cell r="F22">
            <v>1.14300991156374</v>
          </cell>
          <cell r="G22">
            <v>8.1565001586972006</v>
          </cell>
          <cell r="H22">
            <v>8.3587986771706007</v>
          </cell>
          <cell r="I22">
            <v>8.4720872445169904E-2</v>
          </cell>
          <cell r="J22">
            <v>0.35329144557763997</v>
          </cell>
          <cell r="K22">
            <v>0.35299999999999998</v>
          </cell>
        </row>
        <row r="23">
          <cell r="A23">
            <v>22</v>
          </cell>
          <cell r="B23">
            <v>1994</v>
          </cell>
          <cell r="C23">
            <v>50</v>
          </cell>
          <cell r="D23">
            <v>3.9783057327246598</v>
          </cell>
          <cell r="E23">
            <v>3.9585380247196298</v>
          </cell>
          <cell r="F23">
            <v>0.99880160911906002</v>
          </cell>
          <cell r="G23">
            <v>6.1374810258329298</v>
          </cell>
          <cell r="H23">
            <v>6.6811146401799197</v>
          </cell>
          <cell r="I23">
            <v>3.9783057327246598</v>
          </cell>
          <cell r="J23">
            <v>1.74580789284834E-4</v>
          </cell>
          <cell r="K23" t="str">
            <v>&lt;0.001</v>
          </cell>
        </row>
        <row r="24">
          <cell r="A24">
            <v>23</v>
          </cell>
          <cell r="B24">
            <v>1995</v>
          </cell>
          <cell r="C24">
            <v>42</v>
          </cell>
          <cell r="D24">
            <v>3.99754913043185</v>
          </cell>
          <cell r="E24">
            <v>3.9243309847086798</v>
          </cell>
          <cell r="F24">
            <v>1.1369358396229701</v>
          </cell>
          <cell r="G24">
            <v>6.4999240932444202</v>
          </cell>
          <cell r="H24">
            <v>6.7523256928449102</v>
          </cell>
          <cell r="I24">
            <v>1.9243397707198E-2</v>
          </cell>
          <cell r="J24">
            <v>0.94092027256869204</v>
          </cell>
          <cell r="K24">
            <v>0.94099999999999995</v>
          </cell>
        </row>
        <row r="25">
          <cell r="A25">
            <v>24</v>
          </cell>
          <cell r="B25">
            <v>1996</v>
          </cell>
          <cell r="C25">
            <v>24</v>
          </cell>
          <cell r="D25">
            <v>3.7352060448134399</v>
          </cell>
          <cell r="E25">
            <v>3.4714712957848501</v>
          </cell>
          <cell r="F25">
            <v>0.99144449080030195</v>
          </cell>
          <cell r="G25">
            <v>5.6020610770628103</v>
          </cell>
          <cell r="H25">
            <v>5.99767770962199</v>
          </cell>
          <cell r="I25">
            <v>-0.243099687911217</v>
          </cell>
          <cell r="J25">
            <v>0.42059841612964399</v>
          </cell>
          <cell r="K25">
            <v>0.42099999999999999</v>
          </cell>
        </row>
        <row r="26">
          <cell r="A26">
            <v>25</v>
          </cell>
          <cell r="B26">
            <v>1997</v>
          </cell>
          <cell r="C26">
            <v>27</v>
          </cell>
          <cell r="D26">
            <v>4.1320109763492798</v>
          </cell>
          <cell r="E26">
            <v>4.1461590556048202</v>
          </cell>
          <cell r="F26">
            <v>1.3031092660444099</v>
          </cell>
          <cell r="G26">
            <v>7.3979400260438197</v>
          </cell>
          <cell r="H26">
            <v>7.4494782294807802</v>
          </cell>
          <cell r="I26">
            <v>0.15370524362461599</v>
          </cell>
          <cell r="J26">
            <v>0.59644560545277603</v>
          </cell>
          <cell r="K26">
            <v>0.59599999999999997</v>
          </cell>
        </row>
        <row r="27">
          <cell r="A27">
            <v>26</v>
          </cell>
          <cell r="B27">
            <v>1998</v>
          </cell>
          <cell r="C27">
            <v>44</v>
          </cell>
          <cell r="D27">
            <v>4.4028009285969398</v>
          </cell>
          <cell r="E27">
            <v>4.2346084156758996</v>
          </cell>
          <cell r="F27">
            <v>1.25129595917771</v>
          </cell>
          <cell r="G27">
            <v>7.5440680567586904</v>
          </cell>
          <cell r="H27">
            <v>7.6631386919521098</v>
          </cell>
          <cell r="I27">
            <v>0.42449519587228202</v>
          </cell>
          <cell r="J27">
            <v>9.1242695128495796E-2</v>
          </cell>
          <cell r="K27">
            <v>9.0999999999999998E-2</v>
          </cell>
        </row>
        <row r="28">
          <cell r="A28">
            <v>27</v>
          </cell>
          <cell r="B28">
            <v>1999</v>
          </cell>
          <cell r="C28">
            <v>62</v>
          </cell>
          <cell r="D28">
            <v>3.6603358833996098</v>
          </cell>
          <cell r="E28">
            <v>3.5919864157385</v>
          </cell>
          <cell r="F28">
            <v>1.3237667939456299</v>
          </cell>
          <cell r="G28">
            <v>7.5440680567586904</v>
          </cell>
          <cell r="H28">
            <v>7.6012829735406804</v>
          </cell>
          <cell r="I28">
            <v>-0.31796984932505301</v>
          </cell>
          <cell r="J28">
            <v>0.16883189892820799</v>
          </cell>
          <cell r="K28">
            <v>0.16900000000000001</v>
          </cell>
        </row>
        <row r="29">
          <cell r="A29">
            <v>28</v>
          </cell>
          <cell r="B29">
            <v>2000</v>
          </cell>
          <cell r="C29">
            <v>85</v>
          </cell>
          <cell r="D29">
            <v>3.6191233611828602</v>
          </cell>
          <cell r="E29">
            <v>3.6335694425540899</v>
          </cell>
          <cell r="F29">
            <v>1.2686138155097</v>
          </cell>
          <cell r="G29">
            <v>7.2227164971532396</v>
          </cell>
          <cell r="H29">
            <v>7.3525264782111499</v>
          </cell>
          <cell r="I29">
            <v>-0.359182371541798</v>
          </cell>
          <cell r="J29">
            <v>9.8929522422740002E-2</v>
          </cell>
          <cell r="K29">
            <v>9.9000000000000005E-2</v>
          </cell>
        </row>
        <row r="30">
          <cell r="A30">
            <v>29</v>
          </cell>
          <cell r="B30">
            <v>2001</v>
          </cell>
          <cell r="C30">
            <v>97</v>
          </cell>
          <cell r="D30">
            <v>3.87231171331414</v>
          </cell>
          <cell r="E30">
            <v>3.7482655726687399</v>
          </cell>
          <cell r="F30">
            <v>1.3634731913047899</v>
          </cell>
          <cell r="G30">
            <v>7.1643528855306302</v>
          </cell>
          <cell r="H30">
            <v>7.5026214847222299</v>
          </cell>
          <cell r="I30">
            <v>-0.10599401941052</v>
          </cell>
          <cell r="J30">
            <v>0.61898153135563705</v>
          </cell>
          <cell r="K30">
            <v>0.61899999999999999</v>
          </cell>
        </row>
        <row r="31">
          <cell r="A31">
            <v>30</v>
          </cell>
          <cell r="B31">
            <v>2002</v>
          </cell>
          <cell r="C31">
            <v>125</v>
          </cell>
          <cell r="D31">
            <v>3.40435351302968</v>
          </cell>
          <cell r="E31">
            <v>3.2407987711173298</v>
          </cell>
          <cell r="F31">
            <v>1.3727101172224301</v>
          </cell>
          <cell r="G31">
            <v>7.4471580468527403</v>
          </cell>
          <cell r="H31">
            <v>7.7667225656032501</v>
          </cell>
          <cell r="I31">
            <v>-0.573952219694988</v>
          </cell>
          <cell r="J31">
            <v>5.2500437425557697E-3</v>
          </cell>
          <cell r="K31">
            <v>5.0000000000000001E-3</v>
          </cell>
        </row>
        <row r="32">
          <cell r="A32">
            <v>31</v>
          </cell>
          <cell r="B32">
            <v>2003</v>
          </cell>
          <cell r="C32">
            <v>68</v>
          </cell>
          <cell r="D32">
            <v>3.73348135809655</v>
          </cell>
          <cell r="E32">
            <v>3.8313957724212302</v>
          </cell>
          <cell r="F32">
            <v>1.0902181573498599</v>
          </cell>
          <cell r="G32">
            <v>5.8686450260730201</v>
          </cell>
          <cell r="H32">
            <v>6.5165782063077904</v>
          </cell>
          <cell r="I32">
            <v>-0.24482437462811299</v>
          </cell>
          <cell r="J32">
            <v>0.28595008640864</v>
          </cell>
          <cell r="K32">
            <v>0.28599999999999998</v>
          </cell>
        </row>
        <row r="33">
          <cell r="A33">
            <v>32</v>
          </cell>
          <cell r="B33">
            <v>2004</v>
          </cell>
          <cell r="C33">
            <v>49</v>
          </cell>
          <cell r="D33">
            <v>4.0477687965530302</v>
          </cell>
          <cell r="E33">
            <v>4.4872939349832004</v>
          </cell>
          <cell r="F33">
            <v>1.11006471330208</v>
          </cell>
          <cell r="G33">
            <v>5.6963572625644101</v>
          </cell>
          <cell r="H33">
            <v>6.4591491845503199</v>
          </cell>
          <cell r="I33">
            <v>6.9463063828371197E-2</v>
          </cell>
          <cell r="J33">
            <v>0.779670065150183</v>
          </cell>
          <cell r="K33">
            <v>0.78</v>
          </cell>
        </row>
        <row r="34">
          <cell r="A34">
            <v>33</v>
          </cell>
          <cell r="B34">
            <v>2005</v>
          </cell>
          <cell r="C34">
            <v>53</v>
          </cell>
          <cell r="D34">
            <v>3.8523022179050002</v>
          </cell>
          <cell r="E34">
            <v>3.75137577256656</v>
          </cell>
          <cell r="F34">
            <v>1.1682795660254699</v>
          </cell>
          <cell r="G34">
            <v>6.4471581864473597</v>
          </cell>
          <cell r="H34">
            <v>6.8093058643515798</v>
          </cell>
          <cell r="I34">
            <v>-0.12600351481965999</v>
          </cell>
          <cell r="J34">
            <v>0.60068989387254401</v>
          </cell>
          <cell r="K34">
            <v>0.60099999999999998</v>
          </cell>
        </row>
        <row r="35">
          <cell r="A35">
            <v>34</v>
          </cell>
          <cell r="B35">
            <v>2006</v>
          </cell>
          <cell r="C35">
            <v>34</v>
          </cell>
          <cell r="D35">
            <v>3.7039850298248802</v>
          </cell>
          <cell r="E35">
            <v>3.7703216337247998</v>
          </cell>
          <cell r="F35">
            <v>1.28757639799983</v>
          </cell>
          <cell r="G35">
            <v>6.6362207180647603</v>
          </cell>
          <cell r="H35">
            <v>6.7743660678031503</v>
          </cell>
          <cell r="I35">
            <v>-0.274320702899782</v>
          </cell>
          <cell r="J35">
            <v>0.31000304096111803</v>
          </cell>
          <cell r="K35">
            <v>0.31</v>
          </cell>
        </row>
        <row r="36">
          <cell r="A36">
            <v>35</v>
          </cell>
          <cell r="B36">
            <v>2007</v>
          </cell>
          <cell r="C36">
            <v>58</v>
          </cell>
          <cell r="D36">
            <v>4.2564195729544299</v>
          </cell>
          <cell r="E36">
            <v>4.1171528199669796</v>
          </cell>
          <cell r="F36">
            <v>1.3987938691402799</v>
          </cell>
          <cell r="G36">
            <v>7.9237619660050296</v>
          </cell>
          <cell r="H36">
            <v>8.1555298231922499</v>
          </cell>
          <cell r="I36">
            <v>0.27811384022977698</v>
          </cell>
          <cell r="J36">
            <v>0.23582525273048899</v>
          </cell>
          <cell r="K36">
            <v>0.23599999999999999</v>
          </cell>
        </row>
        <row r="37">
          <cell r="A37">
            <v>36</v>
          </cell>
          <cell r="B37">
            <v>2008</v>
          </cell>
          <cell r="C37">
            <v>54</v>
          </cell>
          <cell r="D37">
            <v>4.0030288444303901</v>
          </cell>
          <cell r="E37">
            <v>3.93959603096049</v>
          </cell>
          <cell r="F37">
            <v>1.4290982044238201</v>
          </cell>
          <cell r="G37">
            <v>8.1565001586972006</v>
          </cell>
          <cell r="H37">
            <v>8.1895651591809298</v>
          </cell>
          <cell r="I37">
            <v>2.47231117057309E-2</v>
          </cell>
          <cell r="J37">
            <v>0.918199066358107</v>
          </cell>
          <cell r="K37">
            <v>0.91800000000000004</v>
          </cell>
        </row>
        <row r="38">
          <cell r="A38">
            <v>37</v>
          </cell>
          <cell r="B38">
            <v>2009</v>
          </cell>
          <cell r="C38">
            <v>69</v>
          </cell>
          <cell r="D38">
            <v>4.0051139619576901</v>
          </cell>
          <cell r="E38">
            <v>3.9819399369294302</v>
          </cell>
          <cell r="F38">
            <v>1.18686961248697</v>
          </cell>
          <cell r="G38">
            <v>6.4281349560789396</v>
          </cell>
          <cell r="H38">
            <v>6.9772050682467803</v>
          </cell>
          <cell r="I38">
            <v>2.6808229233031701E-2</v>
          </cell>
          <cell r="J38">
            <v>0.90574942118228197</v>
          </cell>
          <cell r="K38">
            <v>0.90600000000000003</v>
          </cell>
        </row>
        <row r="39">
          <cell r="A39">
            <v>38</v>
          </cell>
          <cell r="B39">
            <v>2010</v>
          </cell>
          <cell r="C39">
            <v>70</v>
          </cell>
          <cell r="D39">
            <v>4.0905320393873401</v>
          </cell>
          <cell r="E39">
            <v>4.1194924642644004</v>
          </cell>
          <cell r="F39">
            <v>1.27041371408226</v>
          </cell>
          <cell r="G39">
            <v>7.1760912880086503</v>
          </cell>
          <cell r="H39">
            <v>7.5330332313196999</v>
          </cell>
          <cell r="I39">
            <v>0.112226306662689</v>
          </cell>
          <cell r="J39">
            <v>0.62014797364069496</v>
          </cell>
          <cell r="K39">
            <v>0.62</v>
          </cell>
        </row>
        <row r="40">
          <cell r="A40">
            <v>39</v>
          </cell>
          <cell r="B40">
            <v>2011</v>
          </cell>
          <cell r="C40">
            <v>103</v>
          </cell>
          <cell r="D40">
            <v>3.6830249028757098</v>
          </cell>
          <cell r="E40">
            <v>3.6703386411274401</v>
          </cell>
          <cell r="F40">
            <v>1.1376437190367501</v>
          </cell>
          <cell r="G40">
            <v>7.5563025128310199</v>
          </cell>
          <cell r="H40">
            <v>7.5988158745084498</v>
          </cell>
          <cell r="I40">
            <v>-0.29528082984894299</v>
          </cell>
          <cell r="J40">
            <v>0.16299698142949401</v>
          </cell>
          <cell r="K40">
            <v>0.16300000000000001</v>
          </cell>
        </row>
        <row r="41">
          <cell r="A41">
            <v>40</v>
          </cell>
          <cell r="B41">
            <v>2012</v>
          </cell>
          <cell r="C41">
            <v>82</v>
          </cell>
          <cell r="D41">
            <v>3.6828394745995801</v>
          </cell>
          <cell r="E41">
            <v>3.61288976928748</v>
          </cell>
          <cell r="F41">
            <v>0.93771349776297097</v>
          </cell>
          <cell r="G41">
            <v>6.2476298662373901</v>
          </cell>
          <cell r="H41">
            <v>6.5409691810236898</v>
          </cell>
          <cell r="I41">
            <v>-0.29546625812506799</v>
          </cell>
          <cell r="J41">
            <v>0.176596147989031</v>
          </cell>
          <cell r="K41">
            <v>0.17699999999999999</v>
          </cell>
        </row>
        <row r="42">
          <cell r="A42">
            <v>41</v>
          </cell>
          <cell r="B42">
            <v>2013</v>
          </cell>
          <cell r="C42">
            <v>75</v>
          </cell>
          <cell r="D42">
            <v>3.84517864336321</v>
          </cell>
          <cell r="E42">
            <v>3.7900035203904898</v>
          </cell>
          <cell r="F42">
            <v>1.00426656120519</v>
          </cell>
          <cell r="G42">
            <v>7.0211893404313201</v>
          </cell>
          <cell r="H42">
            <v>7.1171646649288203</v>
          </cell>
          <cell r="I42">
            <v>-0.13312708936144399</v>
          </cell>
          <cell r="J42">
            <v>0.55073541466297005</v>
          </cell>
          <cell r="K42">
            <v>0.55100000000000005</v>
          </cell>
        </row>
        <row r="43">
          <cell r="A43">
            <v>42</v>
          </cell>
          <cell r="B43">
            <v>2014</v>
          </cell>
          <cell r="C43">
            <v>94</v>
          </cell>
          <cell r="D43">
            <v>3.9407142607492802</v>
          </cell>
          <cell r="E43">
            <v>4.0174388587163001</v>
          </cell>
          <cell r="F43">
            <v>1.22382668585857</v>
          </cell>
          <cell r="G43">
            <v>6.9416456257896799</v>
          </cell>
          <cell r="H43">
            <v>7.2712629825311401</v>
          </cell>
          <cell r="I43">
            <v>-3.7591471975376302E-2</v>
          </cell>
          <cell r="J43">
            <v>0.86026168928025004</v>
          </cell>
          <cell r="K43">
            <v>0.86</v>
          </cell>
        </row>
        <row r="44">
          <cell r="A44">
            <v>43</v>
          </cell>
          <cell r="B44">
            <v>2015</v>
          </cell>
          <cell r="C44">
            <v>150</v>
          </cell>
          <cell r="D44">
            <v>3.6483956478704198</v>
          </cell>
          <cell r="E44">
            <v>3.6010599139172501</v>
          </cell>
          <cell r="F44">
            <v>1.1779917696495401</v>
          </cell>
          <cell r="G44">
            <v>6.9577693391620903</v>
          </cell>
          <cell r="H44">
            <v>7.32302709592215</v>
          </cell>
          <cell r="I44">
            <v>-0.32991008485423901</v>
          </cell>
          <cell r="J44">
            <v>9.7756424501091496E-2</v>
          </cell>
          <cell r="K44">
            <v>9.8000000000000004E-2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1-Basic Desc Stats-recovered"/>
    </sheetNames>
    <sheetDataSet>
      <sheetData sheetId="0">
        <row r="1">
          <cell r="B1" t="str">
            <v>Covariate</v>
          </cell>
          <cell r="C1" t="str">
            <v>n</v>
          </cell>
          <cell r="D1" t="str">
            <v>mean</v>
          </cell>
          <cell r="E1" t="str">
            <v>med</v>
          </cell>
          <cell r="F1" t="str">
            <v>sd</v>
          </cell>
          <cell r="G1" t="str">
            <v>max</v>
          </cell>
          <cell r="H1" t="str">
            <v>sum</v>
          </cell>
          <cell r="I1" t="str">
            <v>coef</v>
          </cell>
          <cell r="J1" t="str">
            <v>pval</v>
          </cell>
          <cell r="K1" t="str">
            <v>pval_txt</v>
          </cell>
        </row>
        <row r="2">
          <cell r="A2">
            <v>1</v>
          </cell>
          <cell r="B2" t="str">
            <v>Full</v>
          </cell>
          <cell r="C2">
            <v>944</v>
          </cell>
          <cell r="D2">
            <v>3.0230245452130098</v>
          </cell>
          <cell r="E2">
            <v>3.2250376778868901</v>
          </cell>
          <cell r="F2">
            <v>1.5623634331935701</v>
          </cell>
          <cell r="G2">
            <v>7.7139236219374103</v>
          </cell>
          <cell r="H2">
            <v>8.2089088715788705</v>
          </cell>
          <cell r="I2" t="str">
            <v>NA</v>
          </cell>
          <cell r="J2" t="str">
            <v>NA</v>
          </cell>
          <cell r="K2" t="str">
            <v>NA</v>
          </cell>
        </row>
        <row r="3">
          <cell r="A3">
            <v>2</v>
          </cell>
          <cell r="B3" t="str">
            <v>Class I</v>
          </cell>
          <cell r="C3">
            <v>635</v>
          </cell>
          <cell r="D3">
            <v>2.96876819331368</v>
          </cell>
          <cell r="E3">
            <v>3.10585067438514</v>
          </cell>
          <cell r="F3">
            <v>1.58330808146255</v>
          </cell>
          <cell r="G3">
            <v>7.2359839898673499</v>
          </cell>
          <cell r="H3">
            <v>7.9949906007253997</v>
          </cell>
          <cell r="I3">
            <v>2.96876819331368</v>
          </cell>
          <cell r="J3">
            <v>6.1428973115201901E-2</v>
          </cell>
          <cell r="K3">
            <v>6.0999999999999999E-2</v>
          </cell>
        </row>
        <row r="4">
          <cell r="A4">
            <v>3</v>
          </cell>
          <cell r="B4" t="str">
            <v>Class II</v>
          </cell>
          <cell r="C4">
            <v>242</v>
          </cell>
          <cell r="D4">
            <v>3.2419171960923898</v>
          </cell>
          <cell r="E4">
            <v>3.5132598909914901</v>
          </cell>
          <cell r="F4">
            <v>1.46816572540975</v>
          </cell>
          <cell r="G4">
            <v>7.7139236219374103</v>
          </cell>
          <cell r="H4">
            <v>7.7804965746593897</v>
          </cell>
          <cell r="I4">
            <v>0.27314900277870702</v>
          </cell>
          <cell r="J4">
            <v>1.97034452458081E-2</v>
          </cell>
          <cell r="K4">
            <v>0.02</v>
          </cell>
        </row>
        <row r="5">
          <cell r="A5">
            <v>4</v>
          </cell>
          <cell r="B5" t="str">
            <v>Class III</v>
          </cell>
          <cell r="C5">
            <v>62</v>
          </cell>
          <cell r="D5">
            <v>2.9681194592344702</v>
          </cell>
          <cell r="E5">
            <v>3.1132092086263898</v>
          </cell>
          <cell r="F5">
            <v>1.4803011016323699</v>
          </cell>
          <cell r="G5">
            <v>6.0126925763402603</v>
          </cell>
          <cell r="H5">
            <v>6.4143030151879703</v>
          </cell>
          <cell r="I5">
            <v>-6.4873407921391699E-4</v>
          </cell>
          <cell r="J5">
            <v>0.99748737208403804</v>
          </cell>
          <cell r="K5">
            <v>0.997</v>
          </cell>
        </row>
        <row r="6">
          <cell r="A6">
            <v>5</v>
          </cell>
          <cell r="B6" t="str">
            <v>None Assigned</v>
          </cell>
          <cell r="C6">
            <v>5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 t="e">
            <v>#NAME?</v>
          </cell>
          <cell r="I6" t="str">
            <v>NA</v>
          </cell>
          <cell r="J6" t="str">
            <v>NA</v>
          </cell>
          <cell r="K6" t="str">
            <v>NA</v>
          </cell>
        </row>
        <row r="7">
          <cell r="A7">
            <v>6</v>
          </cell>
          <cell r="B7" t="str">
            <v>beef</v>
          </cell>
          <cell r="C7">
            <v>282</v>
          </cell>
          <cell r="D7">
            <v>3.07123891459573</v>
          </cell>
          <cell r="E7">
            <v>3.2657962287164102</v>
          </cell>
          <cell r="F7">
            <v>1.66784128341952</v>
          </cell>
          <cell r="G7">
            <v>7.7139236219374103</v>
          </cell>
          <cell r="H7">
            <v>7.8899072134610702</v>
          </cell>
          <cell r="I7">
            <v>3.07123891459573</v>
          </cell>
          <cell r="J7">
            <v>0.32050413227598001</v>
          </cell>
          <cell r="K7">
            <v>0.32100000000000001</v>
          </cell>
        </row>
        <row r="8">
          <cell r="A8">
            <v>7</v>
          </cell>
          <cell r="B8" t="str">
            <v>mixed</v>
          </cell>
          <cell r="C8">
            <v>306</v>
          </cell>
          <cell r="D8">
            <v>3.03121548403454</v>
          </cell>
          <cell r="E8">
            <v>3.1427222789129998</v>
          </cell>
          <cell r="F8">
            <v>1.60995785322039</v>
          </cell>
          <cell r="G8">
            <v>7.2359839898673499</v>
          </cell>
          <cell r="H8">
            <v>7.8763140504176601</v>
          </cell>
          <cell r="I8">
            <v>-4.0023430561189198E-2</v>
          </cell>
          <cell r="J8">
            <v>0.756312685823881</v>
          </cell>
          <cell r="K8">
            <v>0.75600000000000001</v>
          </cell>
        </row>
        <row r="9">
          <cell r="A9">
            <v>8</v>
          </cell>
          <cell r="B9" t="str">
            <v>pork</v>
          </cell>
          <cell r="C9">
            <v>133</v>
          </cell>
          <cell r="D9">
            <v>2.79427592019732</v>
          </cell>
          <cell r="E9">
            <v>2.9390197764486699</v>
          </cell>
          <cell r="F9">
            <v>1.31517420459826</v>
          </cell>
          <cell r="G9">
            <v>6.0126925763402603</v>
          </cell>
          <cell r="H9">
            <v>6.3306225498047999</v>
          </cell>
          <cell r="I9">
            <v>-0.27696299439840999</v>
          </cell>
          <cell r="J9">
            <v>9.2183709333272301E-2</v>
          </cell>
          <cell r="K9">
            <v>9.1999999999999998E-2</v>
          </cell>
        </row>
        <row r="10">
          <cell r="A10">
            <v>9</v>
          </cell>
          <cell r="B10" t="str">
            <v>poultry</v>
          </cell>
          <cell r="C10">
            <v>223</v>
          </cell>
          <cell r="D10">
            <v>3.08724287562455</v>
          </cell>
          <cell r="E10">
            <v>3.42845877351558</v>
          </cell>
          <cell r="F10">
            <v>1.48985327167404</v>
          </cell>
          <cell r="G10">
            <v>6.3073623059700799</v>
          </cell>
          <cell r="H10">
            <v>6.8330346016771903</v>
          </cell>
          <cell r="I10">
            <v>1.6003961028822102E-2</v>
          </cell>
          <cell r="J10">
            <v>0.90899370077887398</v>
          </cell>
          <cell r="K10">
            <v>0.90900000000000003</v>
          </cell>
        </row>
        <row r="11">
          <cell r="A11">
            <v>10</v>
          </cell>
          <cell r="B11" t="str">
            <v>Undeclared Allergen</v>
          </cell>
          <cell r="C11">
            <v>233</v>
          </cell>
          <cell r="D11">
            <v>2.82930812477389</v>
          </cell>
          <cell r="E11">
            <v>3.0580462303952798</v>
          </cell>
          <cell r="F11">
            <v>1.46226466546083</v>
          </cell>
          <cell r="G11">
            <v>5.53124254543782</v>
          </cell>
          <cell r="H11">
            <v>6.50073376191036</v>
          </cell>
          <cell r="I11">
            <v>2.82930812477389</v>
          </cell>
          <cell r="J11">
            <v>5.7994766762608097E-4</v>
          </cell>
          <cell r="K11" t="str">
            <v>&lt;0.001</v>
          </cell>
        </row>
        <row r="12">
          <cell r="A12">
            <v>11</v>
          </cell>
          <cell r="B12" t="str">
            <v>STEC</v>
          </cell>
          <cell r="C12">
            <v>146</v>
          </cell>
          <cell r="D12">
            <v>3.1900456813423901</v>
          </cell>
          <cell r="E12">
            <v>3.3922676376287799</v>
          </cell>
          <cell r="F12">
            <v>1.64232098530866</v>
          </cell>
          <cell r="G12">
            <v>7.2357104337095501</v>
          </cell>
          <cell r="H12">
            <v>7.5573632473248997</v>
          </cell>
          <cell r="I12">
            <v>0.36073755656849699</v>
          </cell>
          <cell r="J12">
            <v>2.7392480358707099E-2</v>
          </cell>
          <cell r="K12">
            <v>2.7E-2</v>
          </cell>
        </row>
        <row r="13">
          <cell r="A13">
            <v>12</v>
          </cell>
          <cell r="B13" t="str">
            <v>Extraneous Material</v>
          </cell>
          <cell r="C13">
            <v>105</v>
          </cell>
          <cell r="D13">
            <v>3.4174029702278701</v>
          </cell>
          <cell r="E13">
            <v>3.7272158209084898</v>
          </cell>
          <cell r="F13">
            <v>1.42227295088113</v>
          </cell>
          <cell r="G13">
            <v>5.7641910820291304</v>
          </cell>
          <cell r="H13">
            <v>6.4945689248282603</v>
          </cell>
          <cell r="I13">
            <v>0.58809484545398705</v>
          </cell>
          <cell r="J13">
            <v>1.2615388824731E-3</v>
          </cell>
          <cell r="K13">
            <v>1E-3</v>
          </cell>
        </row>
        <row r="14">
          <cell r="A14">
            <v>13</v>
          </cell>
          <cell r="B14" t="str">
            <v>Listeria</v>
          </cell>
          <cell r="C14">
            <v>157</v>
          </cell>
          <cell r="D14">
            <v>2.7170025001907199</v>
          </cell>
          <cell r="E14">
            <v>2.75358305889291</v>
          </cell>
          <cell r="F14">
            <v>1.41697884547322</v>
          </cell>
          <cell r="G14">
            <v>6.9258737835720598</v>
          </cell>
          <cell r="H14">
            <v>7.2379424751319803</v>
          </cell>
          <cell r="I14">
            <v>-0.112305624583173</v>
          </cell>
          <cell r="J14">
            <v>0.48215179310589401</v>
          </cell>
          <cell r="K14">
            <v>0.48199999999999998</v>
          </cell>
        </row>
        <row r="15">
          <cell r="A15">
            <v>14</v>
          </cell>
          <cell r="B15" t="str">
            <v>Other</v>
          </cell>
          <cell r="C15">
            <v>166</v>
          </cell>
          <cell r="D15">
            <v>2.9118625302366401</v>
          </cell>
          <cell r="E15">
            <v>3.12252858004388</v>
          </cell>
          <cell r="F15">
            <v>1.72025065219475</v>
          </cell>
          <cell r="G15">
            <v>7.7139236219374103</v>
          </cell>
          <cell r="H15">
            <v>7.7823198847509003</v>
          </cell>
          <cell r="I15">
            <v>8.2554405462750904E-2</v>
          </cell>
          <cell r="J15">
            <v>0.59940253243833896</v>
          </cell>
          <cell r="K15">
            <v>0.59899999999999998</v>
          </cell>
        </row>
        <row r="16">
          <cell r="A16">
            <v>15</v>
          </cell>
          <cell r="B16" t="str">
            <v>Processing Defect</v>
          </cell>
          <cell r="C16">
            <v>54</v>
          </cell>
          <cell r="D16">
            <v>3.4274082282673399</v>
          </cell>
          <cell r="E16">
            <v>3.5509888143026802</v>
          </cell>
          <cell r="F16">
            <v>1.2705553737348201</v>
          </cell>
          <cell r="G16">
            <v>7.0481495470251501</v>
          </cell>
          <cell r="H16">
            <v>7.1980142128724598</v>
          </cell>
          <cell r="I16">
            <v>0.598100103493444</v>
          </cell>
          <cell r="J16">
            <v>1.0622481723119E-2</v>
          </cell>
          <cell r="K16">
            <v>1.0999999999999999E-2</v>
          </cell>
        </row>
        <row r="17">
          <cell r="A17">
            <v>16</v>
          </cell>
          <cell r="B17" t="str">
            <v>Salmonella</v>
          </cell>
          <cell r="C17">
            <v>44</v>
          </cell>
          <cell r="D17">
            <v>3.2466438813921701</v>
          </cell>
          <cell r="E17">
            <v>3.20230639716877</v>
          </cell>
          <cell r="F17">
            <v>2.0800557935275501</v>
          </cell>
          <cell r="G17">
            <v>7.2359839898673499</v>
          </cell>
          <cell r="H17">
            <v>7.3711545923833803</v>
          </cell>
          <cell r="I17">
            <v>0.41733575661828498</v>
          </cell>
          <cell r="J17">
            <v>0.101072281788124</v>
          </cell>
          <cell r="K17">
            <v>0.10100000000000001</v>
          </cell>
        </row>
        <row r="18">
          <cell r="A18">
            <v>17</v>
          </cell>
          <cell r="B18" t="str">
            <v>Undeclared Substance</v>
          </cell>
          <cell r="C18">
            <v>39</v>
          </cell>
          <cell r="D18">
            <v>3.3861909897931399</v>
          </cell>
          <cell r="E18">
            <v>3.2848817146554499</v>
          </cell>
          <cell r="F18">
            <v>1.3487188253223901</v>
          </cell>
          <cell r="G18">
            <v>6.0126925763402603</v>
          </cell>
          <cell r="H18">
            <v>6.3501568844843002</v>
          </cell>
          <cell r="I18">
            <v>0.55688286501925299</v>
          </cell>
          <cell r="J18">
            <v>3.7725509930039702E-2</v>
          </cell>
          <cell r="K18">
            <v>3.7999999999999999E-2</v>
          </cell>
        </row>
        <row r="19">
          <cell r="A19">
            <v>18</v>
          </cell>
          <cell r="B19" t="str">
            <v>Autumn</v>
          </cell>
          <cell r="C19">
            <v>237</v>
          </cell>
          <cell r="D19">
            <v>3.0974639702558799</v>
          </cell>
          <cell r="E19">
            <v>3.16938049531195</v>
          </cell>
          <cell r="F19">
            <v>1.4612842897732501</v>
          </cell>
          <cell r="G19">
            <v>7.2359839898673499</v>
          </cell>
          <cell r="H19">
            <v>7.6909546989880004</v>
          </cell>
          <cell r="I19">
            <v>3.0974639702558902</v>
          </cell>
          <cell r="J19">
            <v>0.696364375144081</v>
          </cell>
          <cell r="K19">
            <v>0.69599999999999995</v>
          </cell>
        </row>
        <row r="20">
          <cell r="A20">
            <v>19</v>
          </cell>
          <cell r="B20" t="str">
            <v>Spring</v>
          </cell>
          <cell r="C20">
            <v>237</v>
          </cell>
          <cell r="D20">
            <v>2.9314703592333098</v>
          </cell>
          <cell r="E20">
            <v>3.1622656142980201</v>
          </cell>
          <cell r="F20">
            <v>1.56307358577138</v>
          </cell>
          <cell r="G20">
            <v>6.5765835429520596</v>
          </cell>
          <cell r="H20">
            <v>7.0355927781502299</v>
          </cell>
          <cell r="I20">
            <v>-0.16599361102257901</v>
          </cell>
          <cell r="J20">
            <v>0.24813700623180501</v>
          </cell>
          <cell r="K20">
            <v>0.248</v>
          </cell>
        </row>
        <row r="21">
          <cell r="A21">
            <v>20</v>
          </cell>
          <cell r="B21" t="str">
            <v>Summer</v>
          </cell>
          <cell r="C21">
            <v>220</v>
          </cell>
          <cell r="D21">
            <v>3.0105091591225799</v>
          </cell>
          <cell r="E21">
            <v>3.2654125336806699</v>
          </cell>
          <cell r="F21">
            <v>1.65972670671341</v>
          </cell>
          <cell r="G21">
            <v>7.0481495470251501</v>
          </cell>
          <cell r="H21">
            <v>7.4963706322218702</v>
          </cell>
          <cell r="I21">
            <v>-8.6954811133305498E-2</v>
          </cell>
          <cell r="J21">
            <v>0.55266152672037605</v>
          </cell>
          <cell r="K21">
            <v>0.55300000000000005</v>
          </cell>
        </row>
        <row r="22">
          <cell r="A22">
            <v>21</v>
          </cell>
          <cell r="B22" t="str">
            <v>Winter</v>
          </cell>
          <cell r="C22">
            <v>250</v>
          </cell>
          <cell r="D22">
            <v>3.05026287834071</v>
          </cell>
          <cell r="E22">
            <v>3.2761167303961698</v>
          </cell>
          <cell r="F22">
            <v>1.5709565015648601</v>
          </cell>
          <cell r="G22">
            <v>7.7139236219374103</v>
          </cell>
          <cell r="H22">
            <v>7.8480332681751896</v>
          </cell>
          <cell r="I22">
            <v>-4.7201091915178101E-2</v>
          </cell>
          <cell r="J22">
            <v>0.739239884577234</v>
          </cell>
          <cell r="K22">
            <v>0.73899999999999999</v>
          </cell>
        </row>
        <row r="23">
          <cell r="A23">
            <v>22</v>
          </cell>
          <cell r="B23">
            <v>1994</v>
          </cell>
          <cell r="C23">
            <v>50</v>
          </cell>
          <cell r="D23">
            <v>3.3301916941778802</v>
          </cell>
          <cell r="E23">
            <v>3.5871609089879102</v>
          </cell>
          <cell r="F23">
            <v>1.3710292246851501</v>
          </cell>
          <cell r="G23">
            <v>5.47991777400944</v>
          </cell>
          <cell r="H23">
            <v>6.1319764730728696</v>
          </cell>
          <cell r="I23">
            <v>3.3301916941778802</v>
          </cell>
          <cell r="J23">
            <v>1.15199638152634E-12</v>
          </cell>
          <cell r="K23" t="str">
            <v>&lt;0.001</v>
          </cell>
        </row>
        <row r="24">
          <cell r="A24">
            <v>23</v>
          </cell>
          <cell r="B24">
            <v>1995</v>
          </cell>
          <cell r="C24">
            <v>42</v>
          </cell>
          <cell r="D24">
            <v>2.7838708613954202</v>
          </cell>
          <cell r="E24">
            <v>3.4353622955858598</v>
          </cell>
          <cell r="F24">
            <v>1.68845076061899</v>
          </cell>
          <cell r="G24">
            <v>5.6593998715914404</v>
          </cell>
          <cell r="H24">
            <v>6.1079588209306603</v>
          </cell>
          <cell r="I24">
            <v>-0.54632083278244803</v>
          </cell>
          <cell r="J24">
            <v>8.2413287313339606E-2</v>
          </cell>
          <cell r="K24">
            <v>8.2000000000000003E-2</v>
          </cell>
        </row>
        <row r="25">
          <cell r="A25">
            <v>24</v>
          </cell>
          <cell r="B25">
            <v>1996</v>
          </cell>
          <cell r="C25">
            <v>24</v>
          </cell>
          <cell r="D25">
            <v>3.4521347706379899</v>
          </cell>
          <cell r="E25">
            <v>3.4551473587478498</v>
          </cell>
          <cell r="F25">
            <v>0.99221024671057201</v>
          </cell>
          <cell r="G25">
            <v>5.4992842113748601</v>
          </cell>
          <cell r="H25">
            <v>5.7639286411042603</v>
          </cell>
          <cell r="I25">
            <v>0.121943076460111</v>
          </cell>
          <cell r="J25">
            <v>0.74365412152982502</v>
          </cell>
          <cell r="K25">
            <v>0.74399999999999999</v>
          </cell>
        </row>
        <row r="26">
          <cell r="A26">
            <v>25</v>
          </cell>
          <cell r="B26">
            <v>1997</v>
          </cell>
          <cell r="C26">
            <v>27</v>
          </cell>
          <cell r="D26">
            <v>3.3596042565777702</v>
          </cell>
          <cell r="E26">
            <v>3.6739419986340902</v>
          </cell>
          <cell r="F26">
            <v>1.6805278070260601</v>
          </cell>
          <cell r="G26">
            <v>7.0045122494051002</v>
          </cell>
          <cell r="H26">
            <v>7.05276240811137</v>
          </cell>
          <cell r="I26">
            <v>2.9412562399893299E-2</v>
          </cell>
          <cell r="J26">
            <v>0.93463285801531304</v>
          </cell>
          <cell r="K26">
            <v>0.93500000000000005</v>
          </cell>
        </row>
        <row r="27">
          <cell r="A27">
            <v>26</v>
          </cell>
          <cell r="B27">
            <v>1998</v>
          </cell>
          <cell r="C27">
            <v>44</v>
          </cell>
          <cell r="D27">
            <v>3.6911145867192898</v>
          </cell>
          <cell r="E27">
            <v>3.7698974881587701</v>
          </cell>
          <cell r="F27">
            <v>1.53843219567864</v>
          </cell>
          <cell r="G27">
            <v>6.7722333716324199</v>
          </cell>
          <cell r="H27">
            <v>7.1105537869366504</v>
          </cell>
          <cell r="I27">
            <v>0.36092289254141102</v>
          </cell>
          <cell r="J27">
            <v>0.24507237712189001</v>
          </cell>
          <cell r="K27">
            <v>0.245</v>
          </cell>
        </row>
        <row r="28">
          <cell r="A28">
            <v>27</v>
          </cell>
          <cell r="B28">
            <v>1999</v>
          </cell>
          <cell r="C28">
            <v>62</v>
          </cell>
          <cell r="D28">
            <v>3.0414164556127901</v>
          </cell>
          <cell r="E28">
            <v>2.98446760990362</v>
          </cell>
          <cell r="F28">
            <v>1.4676563007371699</v>
          </cell>
          <cell r="G28">
            <v>6.9258737835720598</v>
          </cell>
          <cell r="H28">
            <v>6.9825681708346199</v>
          </cell>
          <cell r="I28">
            <v>-0.28877523856508402</v>
          </cell>
          <cell r="J28">
            <v>0.31177867475257898</v>
          </cell>
          <cell r="K28">
            <v>0.312</v>
          </cell>
        </row>
        <row r="29">
          <cell r="A29">
            <v>28</v>
          </cell>
          <cell r="B29">
            <v>2006</v>
          </cell>
          <cell r="C29">
            <v>34</v>
          </cell>
          <cell r="D29">
            <v>2.8388806967993201</v>
          </cell>
          <cell r="E29">
            <v>2.9821333516696402</v>
          </cell>
          <cell r="F29">
            <v>1.42829301833718</v>
          </cell>
          <cell r="G29">
            <v>5.7641910820291304</v>
          </cell>
          <cell r="H29">
            <v>5.9507353315975404</v>
          </cell>
          <cell r="I29">
            <v>-0.49131099737855799</v>
          </cell>
          <cell r="J29">
            <v>0.141265654227517</v>
          </cell>
          <cell r="K29">
            <v>0.14099999999999999</v>
          </cell>
        </row>
        <row r="30">
          <cell r="A30">
            <v>29</v>
          </cell>
          <cell r="B30">
            <v>2007</v>
          </cell>
          <cell r="C30">
            <v>58</v>
          </cell>
          <cell r="D30">
            <v>3.6147099315354199</v>
          </cell>
          <cell r="E30">
            <v>3.5024334760069999</v>
          </cell>
          <cell r="F30">
            <v>1.56076261991744</v>
          </cell>
          <cell r="G30">
            <v>7.2359839898673499</v>
          </cell>
          <cell r="H30">
            <v>7.6977024920735104</v>
          </cell>
          <cell r="I30">
            <v>0.28451823735753701</v>
          </cell>
          <cell r="J30">
            <v>0.32629425698293602</v>
          </cell>
          <cell r="K30">
            <v>0.32600000000000001</v>
          </cell>
        </row>
        <row r="31">
          <cell r="A31">
            <v>30</v>
          </cell>
          <cell r="B31">
            <v>2008</v>
          </cell>
          <cell r="C31">
            <v>54</v>
          </cell>
          <cell r="D31">
            <v>3.3466663632000002</v>
          </cell>
          <cell r="E31">
            <v>3.6554214502482298</v>
          </cell>
          <cell r="F31">
            <v>1.71317501356488</v>
          </cell>
          <cell r="G31">
            <v>7.7139236219374103</v>
          </cell>
          <cell r="H31">
            <v>7.7416760532437996</v>
          </cell>
          <cell r="I31">
            <v>1.6474669022122499E-2</v>
          </cell>
          <cell r="J31">
            <v>0.95541918778536505</v>
          </cell>
          <cell r="K31">
            <v>0.95499999999999996</v>
          </cell>
        </row>
        <row r="32">
          <cell r="A32">
            <v>31</v>
          </cell>
          <cell r="B32">
            <v>2009</v>
          </cell>
          <cell r="C32">
            <v>68</v>
          </cell>
          <cell r="D32">
            <v>3.2740541110546202</v>
          </cell>
          <cell r="E32">
            <v>3.4405928630151998</v>
          </cell>
          <cell r="F32">
            <v>1.470070370163</v>
          </cell>
          <cell r="G32">
            <v>6.0126925763402603</v>
          </cell>
          <cell r="H32">
            <v>6.56178450198981</v>
          </cell>
          <cell r="I32">
            <v>-5.6137583123258498E-2</v>
          </cell>
          <cell r="J32">
            <v>0.84095028532074301</v>
          </cell>
          <cell r="K32">
            <v>0.84099999999999997</v>
          </cell>
        </row>
        <row r="33">
          <cell r="A33">
            <v>32</v>
          </cell>
          <cell r="B33">
            <v>2010</v>
          </cell>
          <cell r="C33">
            <v>68</v>
          </cell>
          <cell r="D33">
            <v>3.33594830381583</v>
          </cell>
          <cell r="E33">
            <v>3.4692569105665201</v>
          </cell>
          <cell r="F33">
            <v>1.5282503338323301</v>
          </cell>
          <cell r="G33">
            <v>6.5765835429520596</v>
          </cell>
          <cell r="H33">
            <v>6.8240020228090197</v>
          </cell>
          <cell r="I33">
            <v>5.7566096379558203E-3</v>
          </cell>
          <cell r="J33">
            <v>0.98358174022470501</v>
          </cell>
          <cell r="K33">
            <v>0.98399999999999999</v>
          </cell>
        </row>
        <row r="34">
          <cell r="A34">
            <v>33</v>
          </cell>
          <cell r="B34">
            <v>2011</v>
          </cell>
          <cell r="C34">
            <v>98</v>
          </cell>
          <cell r="D34">
            <v>2.9409801202899102</v>
          </cell>
          <cell r="E34">
            <v>3.0716435821593899</v>
          </cell>
          <cell r="F34">
            <v>1.39976526434816</v>
          </cell>
          <cell r="G34">
            <v>6.3073623059700799</v>
          </cell>
          <cell r="H34">
            <v>6.55958766639736</v>
          </cell>
          <cell r="I34">
            <v>-0.38921157388797201</v>
          </cell>
          <cell r="J34">
            <v>0.136080759896583</v>
          </cell>
          <cell r="K34">
            <v>0.13600000000000001</v>
          </cell>
        </row>
        <row r="35">
          <cell r="A35">
            <v>34</v>
          </cell>
          <cell r="B35">
            <v>2012</v>
          </cell>
          <cell r="C35">
            <v>75</v>
          </cell>
          <cell r="D35">
            <v>2.9760002302634598</v>
          </cell>
          <cell r="E35">
            <v>3.1267805770120098</v>
          </cell>
          <cell r="F35">
            <v>1.3764611440686501</v>
          </cell>
          <cell r="G35">
            <v>6.1132897486376399</v>
          </cell>
          <cell r="H35">
            <v>6.3411780271406704</v>
          </cell>
          <cell r="I35">
            <v>-0.35419146391441803</v>
          </cell>
          <cell r="J35">
            <v>0.196569924028554</v>
          </cell>
          <cell r="K35">
            <v>0.19700000000000001</v>
          </cell>
        </row>
        <row r="36">
          <cell r="A36">
            <v>35</v>
          </cell>
          <cell r="B36">
            <v>2013</v>
          </cell>
          <cell r="C36">
            <v>60</v>
          </cell>
          <cell r="D36">
            <v>3.1395036544495198</v>
          </cell>
          <cell r="E36">
            <v>3.2359453267962999</v>
          </cell>
          <cell r="F36">
            <v>1.27837019808692</v>
          </cell>
          <cell r="G36">
            <v>5.1536502584030304</v>
          </cell>
          <cell r="H36">
            <v>5.9419440208870702</v>
          </cell>
          <cell r="I36">
            <v>-0.19068803972835199</v>
          </cell>
          <cell r="J36">
            <v>0.50725696013882804</v>
          </cell>
          <cell r="K36">
            <v>0.50700000000000001</v>
          </cell>
        </row>
        <row r="37">
          <cell r="A37">
            <v>36</v>
          </cell>
          <cell r="B37">
            <v>2014</v>
          </cell>
          <cell r="C37">
            <v>57</v>
          </cell>
          <cell r="D37">
            <v>2.9330910266234702</v>
          </cell>
          <cell r="E37">
            <v>3.1586639808139898</v>
          </cell>
          <cell r="F37">
            <v>1.5430090741231499</v>
          </cell>
          <cell r="G37">
            <v>5.53124254543782</v>
          </cell>
          <cell r="H37">
            <v>6.1154224430800603</v>
          </cell>
          <cell r="I37">
            <v>-0.39710066755442103</v>
          </cell>
          <cell r="J37">
            <v>0.17251670449234</v>
          </cell>
          <cell r="K37">
            <v>0.17299999999999999</v>
          </cell>
        </row>
        <row r="38">
          <cell r="A38">
            <v>37</v>
          </cell>
          <cell r="B38">
            <v>2015</v>
          </cell>
          <cell r="C38">
            <v>123</v>
          </cell>
          <cell r="D38">
            <v>1.97087686113923</v>
          </cell>
          <cell r="E38">
            <v>2.2810333672477299</v>
          </cell>
          <cell r="F38">
            <v>1.6447262105664699</v>
          </cell>
          <cell r="G38">
            <v>5.0751161027898002</v>
          </cell>
          <cell r="H38">
            <v>5.7250806168924298</v>
          </cell>
          <cell r="I38">
            <v>-1.35931483303864</v>
          </cell>
          <cell r="J38">
            <v>8.5198378366192805E-8</v>
          </cell>
          <cell r="K38" t="str">
            <v>&lt;0.001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9"/>
  <sheetViews>
    <sheetView workbookViewId="0"/>
  </sheetViews>
  <sheetFormatPr defaultRowHeight="15" x14ac:dyDescent="0.25"/>
  <cols>
    <col min="9" max="9" width="9.140625" style="1"/>
    <col min="10" max="10" width="2.28515625" customWidth="1"/>
  </cols>
  <sheetData>
    <row r="1" spans="1:22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8" t="s">
        <v>9</v>
      </c>
      <c r="K1" t="s">
        <v>1</v>
      </c>
      <c r="L1" t="s">
        <v>2</v>
      </c>
      <c r="M1" t="s">
        <v>3</v>
      </c>
      <c r="N1" t="s">
        <v>4</v>
      </c>
      <c r="O1" t="s">
        <v>5</v>
      </c>
      <c r="P1" t="s">
        <v>6</v>
      </c>
      <c r="Q1" t="s">
        <v>7</v>
      </c>
      <c r="R1" t="s">
        <v>9</v>
      </c>
      <c r="U1" s="9" t="s">
        <v>44</v>
      </c>
      <c r="V1" s="9" t="s">
        <v>45</v>
      </c>
    </row>
    <row r="2" spans="1:22" x14ac:dyDescent="0.25">
      <c r="A2" s="3" t="s">
        <v>8</v>
      </c>
      <c r="B2" s="13">
        <f>recalled!C2</f>
        <v>1515</v>
      </c>
      <c r="C2" s="11">
        <f>recalled!D2</f>
        <v>3.8257936536278199</v>
      </c>
      <c r="D2" s="11">
        <f>recalled!E2</f>
        <v>3.7994094796151301</v>
      </c>
      <c r="E2" s="11">
        <f>recalled!F2</f>
        <v>1.2282719961606099</v>
      </c>
      <c r="F2" s="11">
        <f>recalled!G2</f>
        <v>8.1565001586972006</v>
      </c>
      <c r="G2" s="11">
        <f>recalled!H2</f>
        <v>8.8415389015103507</v>
      </c>
      <c r="H2" s="11" t="s">
        <v>43</v>
      </c>
      <c r="I2" s="1" t="s">
        <v>43</v>
      </c>
      <c r="J2" s="1"/>
      <c r="K2" s="1">
        <f>recovered!C2</f>
        <v>944</v>
      </c>
      <c r="L2" s="14">
        <f>recovered!D2</f>
        <v>3.0230245452130098</v>
      </c>
      <c r="M2" s="14">
        <f>recovered!E2</f>
        <v>3.2250376778868901</v>
      </c>
      <c r="N2" s="14">
        <f>recovered!F2</f>
        <v>1.5623634331935701</v>
      </c>
      <c r="O2" s="14">
        <f>recovered!G2</f>
        <v>7.7139236219374103</v>
      </c>
      <c r="P2" s="14">
        <f>recovered!H2</f>
        <v>8.2089088715788705</v>
      </c>
      <c r="Q2" s="14" t="s">
        <v>43</v>
      </c>
      <c r="R2" s="1" t="s">
        <v>43</v>
      </c>
      <c r="U2" s="2">
        <f t="shared" ref="U2:U49" si="0">G2-F2</f>
        <v>0.68503874281315014</v>
      </c>
    </row>
    <row r="3" spans="1:22" x14ac:dyDescent="0.25">
      <c r="A3" s="3" t="s">
        <v>21</v>
      </c>
      <c r="B3" s="1"/>
      <c r="C3" s="1"/>
      <c r="D3" s="1"/>
      <c r="E3" s="1"/>
      <c r="F3" s="1"/>
      <c r="G3" s="1"/>
      <c r="H3" s="1"/>
      <c r="I3" s="1" t="str">
        <f>recalled!K3</f>
        <v>&lt;0.001</v>
      </c>
      <c r="J3" s="1"/>
      <c r="K3" s="1"/>
      <c r="L3" s="1"/>
      <c r="M3" s="1"/>
      <c r="N3" s="1"/>
      <c r="O3" s="1"/>
      <c r="P3" s="1"/>
      <c r="Q3" s="1"/>
      <c r="R3" s="1">
        <f>recovered!K3</f>
        <v>6.0999999999999999E-2</v>
      </c>
      <c r="U3" s="2">
        <f t="shared" si="0"/>
        <v>0</v>
      </c>
    </row>
    <row r="4" spans="1:22" x14ac:dyDescent="0.25">
      <c r="A4" s="3" t="s">
        <v>24</v>
      </c>
      <c r="B4" s="13">
        <f>recalled!C3</f>
        <v>1075</v>
      </c>
      <c r="C4" s="11">
        <f>recalled!D3</f>
        <v>3.7299871858402298</v>
      </c>
      <c r="D4" s="11">
        <f>recalled!E3</f>
        <v>3.6549910294116601</v>
      </c>
      <c r="E4" s="11">
        <f>recalled!F3</f>
        <v>1.28560241893969</v>
      </c>
      <c r="F4" s="11">
        <f>recalled!G3</f>
        <v>7.9237619660050296</v>
      </c>
      <c r="G4" s="11">
        <f>recalled!H3</f>
        <v>8.7032525581969509</v>
      </c>
      <c r="H4" s="11">
        <f>recalled!I3</f>
        <v>3.7299871858402298</v>
      </c>
      <c r="I4" s="1" t="s">
        <v>23</v>
      </c>
      <c r="J4" s="1"/>
      <c r="K4" s="1">
        <f>recovered!C3</f>
        <v>635</v>
      </c>
      <c r="L4" s="14">
        <f>recovered!D3</f>
        <v>2.96876819331368</v>
      </c>
      <c r="M4" s="14">
        <f>recovered!E3</f>
        <v>3.10585067438514</v>
      </c>
      <c r="N4" s="14">
        <f>recovered!F3</f>
        <v>1.58330808146255</v>
      </c>
      <c r="O4" s="14">
        <f>recovered!G3</f>
        <v>7.2359839898673499</v>
      </c>
      <c r="P4" s="14">
        <f>recovered!H3</f>
        <v>7.9949906007253997</v>
      </c>
      <c r="Q4" s="14">
        <f>recovered!I3</f>
        <v>2.96876819331368</v>
      </c>
      <c r="R4" s="1" t="s">
        <v>23</v>
      </c>
      <c r="U4" s="2">
        <f t="shared" si="0"/>
        <v>0.77949059219192129</v>
      </c>
    </row>
    <row r="5" spans="1:22" x14ac:dyDescent="0.25">
      <c r="A5" s="3" t="s">
        <v>25</v>
      </c>
      <c r="B5" s="13">
        <f>recalled!C4</f>
        <v>313</v>
      </c>
      <c r="C5" s="11">
        <f>recalled!D4</f>
        <v>4.0901464123489601</v>
      </c>
      <c r="D5" s="11">
        <f>recalled!E4</f>
        <v>4.1238842934600104</v>
      </c>
      <c r="E5" s="11">
        <f>recalled!F4</f>
        <v>1.02079595924387</v>
      </c>
      <c r="F5" s="11">
        <f>recalled!G4</f>
        <v>8.1565001586972006</v>
      </c>
      <c r="G5" s="11">
        <f>recalled!H4</f>
        <v>8.2492025584052993</v>
      </c>
      <c r="H5" s="10">
        <f>recalled!I4</f>
        <v>0.360159226508734</v>
      </c>
      <c r="I5" s="1" t="str">
        <f>recalled!K4</f>
        <v>&lt;0.001</v>
      </c>
      <c r="J5" s="1"/>
      <c r="K5" s="1">
        <f>recovered!C4</f>
        <v>242</v>
      </c>
      <c r="L5" s="14">
        <f>recovered!D4</f>
        <v>3.2419171960923898</v>
      </c>
      <c r="M5" s="14">
        <f>recovered!E4</f>
        <v>3.5132598909914901</v>
      </c>
      <c r="N5" s="14">
        <f>recovered!F4</f>
        <v>1.46816572540975</v>
      </c>
      <c r="O5" s="14">
        <f>recovered!G4</f>
        <v>7.7139236219374103</v>
      </c>
      <c r="P5" s="14">
        <f>recovered!H4</f>
        <v>7.7804965746593897</v>
      </c>
      <c r="Q5" s="14">
        <f>recovered!I4</f>
        <v>0.27314900277870702</v>
      </c>
      <c r="R5" s="1">
        <f>recovered!K4</f>
        <v>0.02</v>
      </c>
      <c r="U5" s="2">
        <f t="shared" si="0"/>
        <v>9.2702399708098682E-2</v>
      </c>
    </row>
    <row r="6" spans="1:22" x14ac:dyDescent="0.25">
      <c r="A6" s="3" t="s">
        <v>26</v>
      </c>
      <c r="B6" s="13">
        <f>recalled!C5</f>
        <v>119</v>
      </c>
      <c r="C6" s="11">
        <f>recalled!D5</f>
        <v>3.9535500226974598</v>
      </c>
      <c r="D6" s="11">
        <f>recalled!E5</f>
        <v>3.9777693180915699</v>
      </c>
      <c r="E6" s="11">
        <f>recalled!F5</f>
        <v>1.0777662889317099</v>
      </c>
      <c r="F6" s="11">
        <f>recalled!G5</f>
        <v>6.4281349560789396</v>
      </c>
      <c r="G6" s="11">
        <f>recalled!H5</f>
        <v>7.0353361446441403</v>
      </c>
      <c r="H6" s="11">
        <f>recalled!I5</f>
        <v>0.223562836857226</v>
      </c>
      <c r="I6" s="1">
        <f>recalled!K5</f>
        <v>6.4000000000000001E-2</v>
      </c>
      <c r="J6" s="1"/>
      <c r="K6" s="1">
        <f>recovered!C5</f>
        <v>62</v>
      </c>
      <c r="L6" s="14">
        <f>recovered!D5</f>
        <v>2.9681194592344702</v>
      </c>
      <c r="M6" s="14">
        <f>recovered!E5</f>
        <v>3.1132092086263898</v>
      </c>
      <c r="N6" s="14">
        <f>recovered!F5</f>
        <v>1.4803011016323699</v>
      </c>
      <c r="O6" s="14">
        <f>recovered!G5</f>
        <v>6.0126925763402603</v>
      </c>
      <c r="P6" s="14">
        <f>recovered!H5</f>
        <v>6.4143030151879703</v>
      </c>
      <c r="Q6" s="14">
        <f>recovered!I5</f>
        <v>-6.4873407921391699E-4</v>
      </c>
      <c r="R6" s="1">
        <f>recovered!K5</f>
        <v>0.997</v>
      </c>
      <c r="U6" s="2">
        <f t="shared" si="0"/>
        <v>0.60720118856520067</v>
      </c>
    </row>
    <row r="7" spans="1:22" x14ac:dyDescent="0.25">
      <c r="A7" s="3" t="s">
        <v>27</v>
      </c>
      <c r="B7" s="13">
        <f>recalled!C6</f>
        <v>8</v>
      </c>
      <c r="C7" s="11">
        <f>recalled!D6</f>
        <v>4.8040974276308397</v>
      </c>
      <c r="D7" s="11">
        <f>recalled!E6</f>
        <v>4.8207457806775604</v>
      </c>
      <c r="E7" s="11">
        <f>recalled!F6</f>
        <v>0.71930510097815803</v>
      </c>
      <c r="F7" s="11">
        <f>recalled!G6</f>
        <v>5.7573967880484496</v>
      </c>
      <c r="G7" s="11">
        <f>recalled!H6</f>
        <v>5.99235377596953</v>
      </c>
      <c r="H7" s="11" t="s">
        <v>43</v>
      </c>
      <c r="I7" s="1" t="s">
        <v>43</v>
      </c>
      <c r="J7" s="1"/>
      <c r="K7" s="1">
        <f>recovered!C6</f>
        <v>5</v>
      </c>
      <c r="L7" s="14">
        <f>recovered!D6</f>
        <v>0</v>
      </c>
      <c r="M7" s="14">
        <f>recovered!E6</f>
        <v>0</v>
      </c>
      <c r="N7" s="14">
        <f>recovered!F6</f>
        <v>0</v>
      </c>
      <c r="O7" s="14">
        <f>recovered!G6</f>
        <v>0</v>
      </c>
      <c r="P7" s="14" t="s">
        <v>43</v>
      </c>
      <c r="Q7" s="14" t="s">
        <v>43</v>
      </c>
      <c r="R7" s="1" t="s">
        <v>43</v>
      </c>
      <c r="U7" s="2">
        <f t="shared" si="0"/>
        <v>0.23495698792108044</v>
      </c>
    </row>
    <row r="8" spans="1:22" x14ac:dyDescent="0.25">
      <c r="A8" s="9" t="s">
        <v>13</v>
      </c>
      <c r="B8" s="1"/>
      <c r="C8" s="1"/>
      <c r="D8" s="1"/>
      <c r="E8" s="1"/>
      <c r="F8" s="1"/>
      <c r="G8" s="1"/>
      <c r="H8" s="1"/>
      <c r="I8" s="1" t="str">
        <f>recalled!K7</f>
        <v>&lt;0.001</v>
      </c>
      <c r="J8" s="1"/>
      <c r="K8" s="1"/>
      <c r="L8" s="1"/>
      <c r="M8" s="1"/>
      <c r="N8" s="1"/>
      <c r="O8" s="1"/>
      <c r="P8" s="1"/>
      <c r="Q8" s="1"/>
      <c r="R8" s="1">
        <f>recovered!K7</f>
        <v>0.32100000000000001</v>
      </c>
      <c r="U8" s="2">
        <f t="shared" si="0"/>
        <v>0</v>
      </c>
    </row>
    <row r="9" spans="1:22" x14ac:dyDescent="0.25">
      <c r="A9" s="3" t="s">
        <v>28</v>
      </c>
      <c r="B9" s="13">
        <f>recalled!C7</f>
        <v>485</v>
      </c>
      <c r="C9" s="11">
        <f>recalled!D7</f>
        <v>3.8838026675025401</v>
      </c>
      <c r="D9" s="11">
        <f>recalled!E7</f>
        <v>3.7952541825808801</v>
      </c>
      <c r="E9" s="11">
        <f>recalled!F7</f>
        <v>1.3258162166994301</v>
      </c>
      <c r="F9" s="11">
        <f>recalled!G7</f>
        <v>8.1565001586972006</v>
      </c>
      <c r="G9" s="11">
        <f>recalled!H7</f>
        <v>8.4754044568822895</v>
      </c>
      <c r="H9" s="11">
        <f>recalled!I7</f>
        <v>3.8838026675025499</v>
      </c>
      <c r="I9" s="1" t="s">
        <v>23</v>
      </c>
      <c r="J9" s="1"/>
      <c r="K9" s="1">
        <f>recovered!C7</f>
        <v>282</v>
      </c>
      <c r="L9" s="14">
        <f>recovered!D7</f>
        <v>3.07123891459573</v>
      </c>
      <c r="M9" s="14">
        <f>recovered!E7</f>
        <v>3.2657962287164102</v>
      </c>
      <c r="N9" s="14">
        <f>recovered!F7</f>
        <v>1.66784128341952</v>
      </c>
      <c r="O9" s="14">
        <f>recovered!G7</f>
        <v>7.7139236219374103</v>
      </c>
      <c r="P9" s="14">
        <f>recovered!H7</f>
        <v>7.8899072134610702</v>
      </c>
      <c r="Q9" s="14">
        <f>recovered!I7</f>
        <v>3.07123891459573</v>
      </c>
      <c r="R9" s="1" t="s">
        <v>23</v>
      </c>
      <c r="U9" s="2">
        <f t="shared" si="0"/>
        <v>0.31890429818508892</v>
      </c>
    </row>
    <row r="10" spans="1:22" x14ac:dyDescent="0.25">
      <c r="A10" s="3" t="s">
        <v>29</v>
      </c>
      <c r="B10" s="13">
        <f>recalled!C8</f>
        <v>485</v>
      </c>
      <c r="C10" s="11">
        <f>recalled!D8</f>
        <v>3.78507503391925</v>
      </c>
      <c r="D10" s="11">
        <f>recalled!E8</f>
        <v>3.7842403255375099</v>
      </c>
      <c r="E10" s="11">
        <f>recalled!F8</f>
        <v>1.2386107096041099</v>
      </c>
      <c r="F10" s="11">
        <f>recalled!G8</f>
        <v>7.9237619660050296</v>
      </c>
      <c r="G10" s="11">
        <f>recalled!H8</f>
        <v>8.4049335227789097</v>
      </c>
      <c r="H10" s="11">
        <f>recalled!I8</f>
        <v>-9.8727633583291202E-2</v>
      </c>
      <c r="I10" s="1">
        <f>recalled!K8</f>
        <v>0.217</v>
      </c>
      <c r="J10" s="1"/>
      <c r="K10" s="1">
        <f>recovered!C8</f>
        <v>306</v>
      </c>
      <c r="L10" s="14">
        <f>recovered!D8</f>
        <v>3.03121548403454</v>
      </c>
      <c r="M10" s="14">
        <f>recovered!E8</f>
        <v>3.1427222789129998</v>
      </c>
      <c r="N10" s="14">
        <f>recovered!F8</f>
        <v>1.60995785322039</v>
      </c>
      <c r="O10" s="14">
        <f>recovered!G8</f>
        <v>7.2359839898673499</v>
      </c>
      <c r="P10" s="14">
        <f>recovered!H8</f>
        <v>7.8763140504176601</v>
      </c>
      <c r="Q10" s="14">
        <f>recovered!I8</f>
        <v>-4.0023430561189198E-2</v>
      </c>
      <c r="R10" s="1">
        <f>recovered!K8</f>
        <v>0.75600000000000001</v>
      </c>
      <c r="U10" s="2">
        <f t="shared" si="0"/>
        <v>0.48117155677388013</v>
      </c>
    </row>
    <row r="11" spans="1:22" x14ac:dyDescent="0.25">
      <c r="A11" s="3" t="s">
        <v>30</v>
      </c>
      <c r="B11" s="13">
        <f>recalled!C9</f>
        <v>203</v>
      </c>
      <c r="C11" s="11">
        <f>recalled!D9</f>
        <v>3.5342387890562099</v>
      </c>
      <c r="D11" s="11">
        <f>recalled!E9</f>
        <v>3.55642312137129</v>
      </c>
      <c r="E11" s="11">
        <f>recalled!F9</f>
        <v>1.03855004479665</v>
      </c>
      <c r="F11" s="11">
        <f>recalled!G9</f>
        <v>6.4281349560789396</v>
      </c>
      <c r="G11" s="11">
        <f>recalled!H9</f>
        <v>6.9275766295949301</v>
      </c>
      <c r="H11" s="11">
        <f>recalled!I9</f>
        <v>-0.34956387844634201</v>
      </c>
      <c r="I11" s="1" t="str">
        <f>recalled!K9</f>
        <v>&lt;0.001</v>
      </c>
      <c r="J11" s="1"/>
      <c r="K11" s="1">
        <f>recovered!C9</f>
        <v>133</v>
      </c>
      <c r="L11" s="14">
        <f>recovered!D9</f>
        <v>2.79427592019732</v>
      </c>
      <c r="M11" s="14">
        <f>recovered!E9</f>
        <v>2.9390197764486699</v>
      </c>
      <c r="N11" s="14">
        <f>recovered!F9</f>
        <v>1.31517420459826</v>
      </c>
      <c r="O11" s="14">
        <f>recovered!G9</f>
        <v>6.0126925763402603</v>
      </c>
      <c r="P11" s="14">
        <f>recovered!H9</f>
        <v>6.3306225498047999</v>
      </c>
      <c r="Q11" s="14">
        <f>recovered!I9</f>
        <v>-0.27696299439840999</v>
      </c>
      <c r="R11" s="1">
        <f>recovered!K9</f>
        <v>9.1999999999999998E-2</v>
      </c>
      <c r="U11" s="2">
        <f t="shared" si="0"/>
        <v>0.49944167351599056</v>
      </c>
    </row>
    <row r="12" spans="1:22" x14ac:dyDescent="0.25">
      <c r="A12" s="3" t="s">
        <v>31</v>
      </c>
      <c r="B12" s="13">
        <f>recalled!C10</f>
        <v>342</v>
      </c>
      <c r="C12" s="11">
        <f>recalled!D10</f>
        <v>3.9733847609478601</v>
      </c>
      <c r="D12" s="11">
        <f>recalled!E10</f>
        <v>4.0164059854267498</v>
      </c>
      <c r="E12" s="11">
        <f>recalled!F10</f>
        <v>1.14551105590958</v>
      </c>
      <c r="F12" s="11">
        <f>recalled!G10</f>
        <v>7.5563025128310199</v>
      </c>
      <c r="G12" s="11">
        <f>recalled!H10</f>
        <v>8.1236817169520794</v>
      </c>
      <c r="H12" s="11">
        <f>recalled!I10</f>
        <v>8.9582093445313205E-2</v>
      </c>
      <c r="I12" s="1">
        <f>recalled!K10</f>
        <v>0.30499999999999999</v>
      </c>
      <c r="J12" s="1"/>
      <c r="K12" s="1">
        <f>recovered!C10</f>
        <v>223</v>
      </c>
      <c r="L12" s="14">
        <f>recovered!D10</f>
        <v>3.08724287562455</v>
      </c>
      <c r="M12" s="14">
        <f>recovered!E10</f>
        <v>3.42845877351558</v>
      </c>
      <c r="N12" s="14">
        <f>recovered!F10</f>
        <v>1.48985327167404</v>
      </c>
      <c r="O12" s="14">
        <f>recovered!G10</f>
        <v>6.3073623059700799</v>
      </c>
      <c r="P12" s="14">
        <f>recovered!H10</f>
        <v>6.8330346016771903</v>
      </c>
      <c r="Q12" s="14">
        <f>recovered!I10</f>
        <v>1.6003961028822102E-2</v>
      </c>
      <c r="R12" s="1">
        <f>recovered!K10</f>
        <v>0.90900000000000003</v>
      </c>
      <c r="U12" s="2">
        <f t="shared" si="0"/>
        <v>0.56737920412105947</v>
      </c>
    </row>
    <row r="13" spans="1:22" x14ac:dyDescent="0.25">
      <c r="A13" s="9" t="s">
        <v>14</v>
      </c>
      <c r="B13" s="1"/>
      <c r="C13" s="1"/>
      <c r="D13" s="1"/>
      <c r="E13" s="1"/>
      <c r="F13" s="1"/>
      <c r="G13" s="1"/>
      <c r="H13" s="1"/>
      <c r="I13" s="1" t="str">
        <f>recalled!K11</f>
        <v>&lt;0.001</v>
      </c>
      <c r="J13" s="1"/>
      <c r="K13" s="1"/>
      <c r="L13" s="1"/>
      <c r="M13" s="1"/>
      <c r="N13" s="1"/>
      <c r="O13" s="1"/>
      <c r="P13" s="1"/>
      <c r="Q13" s="1"/>
      <c r="R13" s="1" t="str">
        <f>recovered!K11</f>
        <v>&lt;0.001</v>
      </c>
      <c r="U13" s="2">
        <f t="shared" si="0"/>
        <v>0</v>
      </c>
    </row>
    <row r="14" spans="1:22" x14ac:dyDescent="0.25">
      <c r="A14" s="3" t="s">
        <v>32</v>
      </c>
      <c r="B14" s="13">
        <f>recalled!C11</f>
        <v>332</v>
      </c>
      <c r="C14" s="11">
        <f>recalled!D11</f>
        <v>3.8843887226903901</v>
      </c>
      <c r="D14" s="11">
        <f>recalled!E11</f>
        <v>3.8989792997464199</v>
      </c>
      <c r="E14" s="11">
        <f>recalled!F11</f>
        <v>1.02977038575803</v>
      </c>
      <c r="F14" s="11">
        <f>recalled!G11</f>
        <v>6.9577693391620903</v>
      </c>
      <c r="G14" s="11">
        <f>recalled!H11</f>
        <v>7.54494994492525</v>
      </c>
      <c r="H14" s="11">
        <f>recalled!I11</f>
        <v>3.8843887226903999</v>
      </c>
      <c r="I14" s="1" t="s">
        <v>23</v>
      </c>
      <c r="J14" s="1"/>
      <c r="K14" s="1">
        <f>recovered!C11</f>
        <v>233</v>
      </c>
      <c r="L14" s="14">
        <f>recovered!D11</f>
        <v>2.82930812477389</v>
      </c>
      <c r="M14" s="14">
        <f>recovered!E11</f>
        <v>3.0580462303952798</v>
      </c>
      <c r="N14" s="14">
        <f>recovered!F11</f>
        <v>1.46226466546083</v>
      </c>
      <c r="O14" s="14">
        <f>recovered!G11</f>
        <v>5.53124254543782</v>
      </c>
      <c r="P14" s="14">
        <f>recovered!H11</f>
        <v>6.50073376191036</v>
      </c>
      <c r="Q14" s="14">
        <f>recovered!I11</f>
        <v>2.82930812477389</v>
      </c>
      <c r="R14" s="1" t="s">
        <v>23</v>
      </c>
      <c r="U14" s="2">
        <f t="shared" si="0"/>
        <v>0.58718060576315967</v>
      </c>
    </row>
    <row r="15" spans="1:22" x14ac:dyDescent="0.25">
      <c r="A15" s="3" t="s">
        <v>33</v>
      </c>
      <c r="B15" s="13">
        <f>recalled!C12</f>
        <v>270</v>
      </c>
      <c r="C15" s="11">
        <f>recalled!D12</f>
        <v>3.9559048068827098</v>
      </c>
      <c r="D15" s="11">
        <f>recalled!E12</f>
        <v>4.02073779597856</v>
      </c>
      <c r="E15" s="11">
        <f>recalled!F12</f>
        <v>1.4020735466337699</v>
      </c>
      <c r="F15" s="11">
        <f>recalled!G12</f>
        <v>7.3979400260438197</v>
      </c>
      <c r="G15" s="11">
        <f>recalled!H12</f>
        <v>8.1036176218097999</v>
      </c>
      <c r="H15" s="11">
        <f>recalled!I12</f>
        <v>7.1516084192317794E-2</v>
      </c>
      <c r="I15" s="1">
        <f>recalled!K12</f>
        <v>0.46600000000000003</v>
      </c>
      <c r="J15" s="1"/>
      <c r="K15" s="1">
        <f>recovered!C12</f>
        <v>146</v>
      </c>
      <c r="L15" s="14">
        <f>recovered!D12</f>
        <v>3.1900456813423901</v>
      </c>
      <c r="M15" s="14">
        <f>recovered!E12</f>
        <v>3.3922676376287799</v>
      </c>
      <c r="N15" s="14">
        <f>recovered!F12</f>
        <v>1.64232098530866</v>
      </c>
      <c r="O15" s="14">
        <f>recovered!G12</f>
        <v>7.2357104337095501</v>
      </c>
      <c r="P15" s="14">
        <f>recovered!H12</f>
        <v>7.5573632473248997</v>
      </c>
      <c r="Q15" s="14">
        <f>recovered!I12</f>
        <v>0.36073755656849699</v>
      </c>
      <c r="R15" s="1">
        <f>recovered!K12</f>
        <v>2.7E-2</v>
      </c>
      <c r="U15" s="2">
        <f t="shared" si="0"/>
        <v>0.70567759576598021</v>
      </c>
    </row>
    <row r="16" spans="1:22" x14ac:dyDescent="0.25">
      <c r="A16" s="3" t="s">
        <v>35</v>
      </c>
      <c r="B16" s="13">
        <f>recalled!C13</f>
        <v>143</v>
      </c>
      <c r="C16" s="11">
        <f>recalled!D13</f>
        <v>4.3667554142000604</v>
      </c>
      <c r="D16" s="11">
        <f>recalled!E13</f>
        <v>4.3518349434774404</v>
      </c>
      <c r="E16" s="11">
        <f>recalled!F13</f>
        <v>0.84786373615413602</v>
      </c>
      <c r="F16" s="11">
        <f>recalled!G13</f>
        <v>6.6362207180647603</v>
      </c>
      <c r="G16" s="11">
        <f>recalled!H13</f>
        <v>7.2727624255004599</v>
      </c>
      <c r="H16" s="11">
        <f>recalled!I13</f>
        <v>0.48236669150967698</v>
      </c>
      <c r="I16" s="1" t="str">
        <f>recalled!K13</f>
        <v>&lt;0.001</v>
      </c>
      <c r="J16" s="1"/>
      <c r="K16" s="1">
        <f>recovered!C13</f>
        <v>105</v>
      </c>
      <c r="L16" s="14">
        <f>recovered!D13</f>
        <v>3.4174029702278701</v>
      </c>
      <c r="M16" s="14">
        <f>recovered!E13</f>
        <v>3.7272158209084898</v>
      </c>
      <c r="N16" s="14">
        <f>recovered!F13</f>
        <v>1.42227295088113</v>
      </c>
      <c r="O16" s="14">
        <f>recovered!G13</f>
        <v>5.7641910820291304</v>
      </c>
      <c r="P16" s="14">
        <f>recovered!H13</f>
        <v>6.4945689248282603</v>
      </c>
      <c r="Q16" s="14">
        <f>recovered!I13</f>
        <v>0.58809484545398705</v>
      </c>
      <c r="R16" s="1">
        <f>recovered!K13</f>
        <v>1E-3</v>
      </c>
      <c r="U16" s="2">
        <f t="shared" si="0"/>
        <v>0.6365417074356996</v>
      </c>
    </row>
    <row r="17" spans="1:21" x14ac:dyDescent="0.25">
      <c r="A17" s="3" t="s">
        <v>19</v>
      </c>
      <c r="B17" s="13">
        <f>recalled!C14</f>
        <v>327</v>
      </c>
      <c r="C17" s="11">
        <f>recalled!D14</f>
        <v>3.2255872305392499</v>
      </c>
      <c r="D17" s="11">
        <f>recalled!E14</f>
        <v>3.0715138050950901</v>
      </c>
      <c r="E17" s="11">
        <f>recalled!F14</f>
        <v>1.22559378080125</v>
      </c>
      <c r="F17" s="11">
        <f>recalled!G14</f>
        <v>7.5440680567586904</v>
      </c>
      <c r="G17" s="11">
        <f>recalled!H14</f>
        <v>8.17422290078113</v>
      </c>
      <c r="H17" s="11">
        <f>recalled!I14</f>
        <v>-0.65880149215114103</v>
      </c>
      <c r="I17" s="1" t="str">
        <f>recalled!K14</f>
        <v>&lt;0.001</v>
      </c>
      <c r="J17" s="1"/>
      <c r="K17" s="1">
        <f>recovered!C14</f>
        <v>157</v>
      </c>
      <c r="L17" s="14">
        <f>recovered!D14</f>
        <v>2.7170025001907199</v>
      </c>
      <c r="M17" s="14">
        <f>recovered!E14</f>
        <v>2.75358305889291</v>
      </c>
      <c r="N17" s="14">
        <f>recovered!F14</f>
        <v>1.41697884547322</v>
      </c>
      <c r="O17" s="14">
        <f>recovered!G14</f>
        <v>6.9258737835720598</v>
      </c>
      <c r="P17" s="14">
        <f>recovered!H14</f>
        <v>7.2379424751319803</v>
      </c>
      <c r="Q17" s="14">
        <f>recovered!I14</f>
        <v>-0.112305624583173</v>
      </c>
      <c r="R17" s="1">
        <f>recovered!K14</f>
        <v>0.48199999999999998</v>
      </c>
      <c r="U17" s="2">
        <f t="shared" si="0"/>
        <v>0.6301548440224396</v>
      </c>
    </row>
    <row r="18" spans="1:21" x14ac:dyDescent="0.25">
      <c r="A18" s="3" t="s">
        <v>34</v>
      </c>
      <c r="B18" s="13">
        <f>recalled!C15</f>
        <v>234</v>
      </c>
      <c r="C18" s="11">
        <f>recalled!D15</f>
        <v>3.8930493584333798</v>
      </c>
      <c r="D18" s="11">
        <f>recalled!E15</f>
        <v>3.8345750248434101</v>
      </c>
      <c r="E18" s="11">
        <f>recalled!F15</f>
        <v>1.09977632086641</v>
      </c>
      <c r="F18" s="11">
        <f>recalled!G15</f>
        <v>8.1565001586972006</v>
      </c>
      <c r="G18" s="11">
        <f>recalled!H15</f>
        <v>8.2292491596302995</v>
      </c>
      <c r="H18" s="11">
        <f>recalled!I15</f>
        <v>8.6606357429922197E-3</v>
      </c>
      <c r="I18" s="1">
        <f>recalled!K15</f>
        <v>0.93300000000000005</v>
      </c>
      <c r="J18" s="1"/>
      <c r="K18" s="1">
        <f>recovered!C15</f>
        <v>166</v>
      </c>
      <c r="L18" s="14">
        <f>recovered!D15</f>
        <v>2.9118625302366401</v>
      </c>
      <c r="M18" s="14">
        <f>recovered!E15</f>
        <v>3.12252858004388</v>
      </c>
      <c r="N18" s="14">
        <f>recovered!F15</f>
        <v>1.72025065219475</v>
      </c>
      <c r="O18" s="14">
        <f>recovered!G15</f>
        <v>7.7139236219374103</v>
      </c>
      <c r="P18" s="14">
        <f>recovered!H15</f>
        <v>7.7823198847509003</v>
      </c>
      <c r="Q18" s="14">
        <f>recovered!I15</f>
        <v>8.2554405462750904E-2</v>
      </c>
      <c r="R18" s="1">
        <f>recovered!K15</f>
        <v>0.59899999999999998</v>
      </c>
      <c r="U18" s="2">
        <f t="shared" si="0"/>
        <v>7.2749000933098884E-2</v>
      </c>
    </row>
    <row r="19" spans="1:21" x14ac:dyDescent="0.25">
      <c r="A19" s="3" t="s">
        <v>36</v>
      </c>
      <c r="B19" s="13">
        <f>recalled!C16</f>
        <v>76</v>
      </c>
      <c r="C19" s="11">
        <f>recalled!D16</f>
        <v>4.0348281528246499</v>
      </c>
      <c r="D19" s="11">
        <f>recalled!E16</f>
        <v>4.0939320658516998</v>
      </c>
      <c r="E19" s="11">
        <f>recalled!F16</f>
        <v>1.0695112482892699</v>
      </c>
      <c r="F19" s="11">
        <f>recalled!G16</f>
        <v>7.3364597538621004</v>
      </c>
      <c r="G19" s="11">
        <f>recalled!H16</f>
        <v>7.6236235529726404</v>
      </c>
      <c r="H19" s="11">
        <f>recalled!I16</f>
        <v>0.15043943013426</v>
      </c>
      <c r="I19" s="1">
        <f>recalled!K16</f>
        <v>0.318</v>
      </c>
      <c r="J19" s="1"/>
      <c r="K19" s="1">
        <f>recovered!C16</f>
        <v>54</v>
      </c>
      <c r="L19" s="14">
        <f>recovered!D16</f>
        <v>3.4274082282673399</v>
      </c>
      <c r="M19" s="14">
        <f>recovered!E16</f>
        <v>3.5509888143026802</v>
      </c>
      <c r="N19" s="14">
        <f>recovered!F16</f>
        <v>1.2705553737348201</v>
      </c>
      <c r="O19" s="14">
        <f>recovered!G16</f>
        <v>7.0481495470251501</v>
      </c>
      <c r="P19" s="14">
        <f>recovered!H16</f>
        <v>7.1980142128724598</v>
      </c>
      <c r="Q19" s="14">
        <f>recovered!I16</f>
        <v>0.598100103493444</v>
      </c>
      <c r="R19" s="1">
        <f>recovered!K16</f>
        <v>1.0999999999999999E-2</v>
      </c>
      <c r="U19" s="2">
        <f t="shared" si="0"/>
        <v>0.28716379911054002</v>
      </c>
    </row>
    <row r="20" spans="1:21" x14ac:dyDescent="0.25">
      <c r="A20" s="3" t="s">
        <v>38</v>
      </c>
      <c r="B20" s="13">
        <f>recalled!C17</f>
        <v>65</v>
      </c>
      <c r="C20" s="11">
        <f>recalled!D17</f>
        <v>4.1025366985192102</v>
      </c>
      <c r="D20" s="11">
        <f>recalled!E17</f>
        <v>4.1335708406140403</v>
      </c>
      <c r="E20" s="11">
        <f>recalled!F17</f>
        <v>1.59554064297508</v>
      </c>
      <c r="F20" s="11">
        <f>recalled!G17</f>
        <v>7.9237619660050296</v>
      </c>
      <c r="G20" s="11">
        <f>recalled!H17</f>
        <v>8.1516139795518203</v>
      </c>
      <c r="H20" s="11">
        <f>recalled!I17</f>
        <v>0.21814797582881701</v>
      </c>
      <c r="I20" s="1">
        <f>recalled!K17</f>
        <v>0.186</v>
      </c>
      <c r="J20" s="1"/>
      <c r="K20" s="1">
        <f>recovered!C17</f>
        <v>44</v>
      </c>
      <c r="L20" s="14">
        <f>recovered!D17</f>
        <v>3.2466438813921701</v>
      </c>
      <c r="M20" s="14">
        <f>recovered!E17</f>
        <v>3.20230639716877</v>
      </c>
      <c r="N20" s="14">
        <f>recovered!F17</f>
        <v>2.0800557935275501</v>
      </c>
      <c r="O20" s="14">
        <f>recovered!G17</f>
        <v>7.2359839898673499</v>
      </c>
      <c r="P20" s="14">
        <f>recovered!H17</f>
        <v>7.3711545923833803</v>
      </c>
      <c r="Q20" s="14">
        <f>recovered!I17</f>
        <v>0.41733575661828498</v>
      </c>
      <c r="R20" s="1">
        <f>recovered!K17</f>
        <v>0.10100000000000001</v>
      </c>
      <c r="U20" s="2">
        <f t="shared" si="0"/>
        <v>0.22785201354679074</v>
      </c>
    </row>
    <row r="21" spans="1:21" x14ac:dyDescent="0.25">
      <c r="A21" s="3" t="s">
        <v>37</v>
      </c>
      <c r="B21" s="13">
        <f>recalled!C18</f>
        <v>68</v>
      </c>
      <c r="C21" s="11">
        <f>recalled!D18</f>
        <v>4.11607719980399</v>
      </c>
      <c r="D21" s="11">
        <f>recalled!E18</f>
        <v>4.2506883036457204</v>
      </c>
      <c r="E21" s="11">
        <f>recalled!F18</f>
        <v>1.23212491073176</v>
      </c>
      <c r="F21" s="11">
        <f>recalled!G18</f>
        <v>6.4281349560789396</v>
      </c>
      <c r="G21" s="11">
        <f>recalled!H18</f>
        <v>7.0345235395799204</v>
      </c>
      <c r="H21" s="11">
        <f>recalled!I18</f>
        <v>0.231688477113594</v>
      </c>
      <c r="I21" s="1">
        <f>recalled!K18</f>
        <v>0.154</v>
      </c>
      <c r="J21" s="1"/>
      <c r="K21" s="1">
        <f>recovered!C18</f>
        <v>39</v>
      </c>
      <c r="L21" s="14">
        <f>recovered!D18</f>
        <v>3.3861909897931399</v>
      </c>
      <c r="M21" s="14">
        <f>recovered!E18</f>
        <v>3.2848817146554499</v>
      </c>
      <c r="N21" s="14">
        <f>recovered!F18</f>
        <v>1.3487188253223901</v>
      </c>
      <c r="O21" s="14">
        <f>recovered!G18</f>
        <v>6.0126925763402603</v>
      </c>
      <c r="P21" s="14">
        <f>recovered!H18</f>
        <v>6.3501568844843002</v>
      </c>
      <c r="Q21" s="14">
        <f>recovered!I18</f>
        <v>0.55688286501925299</v>
      </c>
      <c r="R21" s="1">
        <f>recovered!K18</f>
        <v>3.7999999999999999E-2</v>
      </c>
      <c r="U21" s="2">
        <f t="shared" si="0"/>
        <v>0.60638858350098079</v>
      </c>
    </row>
    <row r="22" spans="1:21" x14ac:dyDescent="0.25">
      <c r="A22" s="9" t="s">
        <v>22</v>
      </c>
      <c r="B22" s="1"/>
      <c r="C22" s="1"/>
      <c r="D22" s="1"/>
      <c r="E22" s="1"/>
      <c r="F22" s="1"/>
      <c r="G22" s="1"/>
      <c r="H22" s="1"/>
      <c r="I22" s="1">
        <f>recalled!K19</f>
        <v>0.41799999999999998</v>
      </c>
      <c r="J22" s="1"/>
      <c r="K22" s="1"/>
      <c r="L22" s="1"/>
      <c r="M22" s="1"/>
      <c r="N22" s="1"/>
      <c r="O22" s="1"/>
      <c r="P22" s="1"/>
      <c r="Q22" s="1"/>
      <c r="R22" s="1">
        <f>recovered!K19</f>
        <v>0.69599999999999995</v>
      </c>
      <c r="U22" s="2">
        <f t="shared" si="0"/>
        <v>0</v>
      </c>
    </row>
    <row r="23" spans="1:21" x14ac:dyDescent="0.25">
      <c r="A23" s="3" t="s">
        <v>39</v>
      </c>
      <c r="B23" s="13">
        <f>recalled!C19</f>
        <v>382</v>
      </c>
      <c r="C23" s="11">
        <f>recalled!D19</f>
        <v>3.8294741596160402</v>
      </c>
      <c r="D23" s="11">
        <f>recalled!E19</f>
        <v>3.78674933498404</v>
      </c>
      <c r="E23" s="11">
        <f>recalled!F19</f>
        <v>1.2599699103851201</v>
      </c>
      <c r="F23" s="11">
        <f>recalled!G19</f>
        <v>7.9237619660050296</v>
      </c>
      <c r="G23" s="11">
        <f>recalled!H19</f>
        <v>8.3580162219715994</v>
      </c>
      <c r="H23" s="11">
        <f>recalled!I19</f>
        <v>3.82947415961605</v>
      </c>
      <c r="I23" s="1" t="s">
        <v>23</v>
      </c>
      <c r="J23" s="1"/>
      <c r="K23" s="1">
        <f>recovered!C19</f>
        <v>237</v>
      </c>
      <c r="L23" s="14">
        <f>recovered!D19</f>
        <v>3.0974639702558799</v>
      </c>
      <c r="M23" s="14">
        <f>recovered!E19</f>
        <v>3.16938049531195</v>
      </c>
      <c r="N23" s="14">
        <f>recovered!F19</f>
        <v>1.4612842897732501</v>
      </c>
      <c r="O23" s="14">
        <f>recovered!G19</f>
        <v>7.2359839898673499</v>
      </c>
      <c r="P23" s="14">
        <f>recovered!H19</f>
        <v>7.6909546989880004</v>
      </c>
      <c r="Q23" s="14">
        <f>recovered!I19</f>
        <v>3.0974639702558902</v>
      </c>
      <c r="R23" s="1" t="s">
        <v>23</v>
      </c>
      <c r="U23" s="2">
        <f t="shared" si="0"/>
        <v>0.43425425596656986</v>
      </c>
    </row>
    <row r="24" spans="1:21" x14ac:dyDescent="0.25">
      <c r="A24" s="3" t="s">
        <v>40</v>
      </c>
      <c r="B24" s="13">
        <f>recalled!C20</f>
        <v>381</v>
      </c>
      <c r="C24" s="11">
        <f>recalled!D20</f>
        <v>3.7829856168683</v>
      </c>
      <c r="D24" s="11">
        <f>recalled!E20</f>
        <v>3.8085204734028202</v>
      </c>
      <c r="E24" s="11">
        <f>recalled!F20</f>
        <v>1.21849487746826</v>
      </c>
      <c r="F24" s="11">
        <f>recalled!G20</f>
        <v>7.1760912880086503</v>
      </c>
      <c r="G24" s="11">
        <f>recalled!H20</f>
        <v>7.9829602779151703</v>
      </c>
      <c r="H24" s="11">
        <f>recalled!I20</f>
        <v>-4.6488542747736998E-2</v>
      </c>
      <c r="I24" s="1">
        <f>recalled!K20</f>
        <v>0.60699999999999998</v>
      </c>
      <c r="J24" s="1"/>
      <c r="K24" s="1">
        <f>recovered!C20</f>
        <v>237</v>
      </c>
      <c r="L24" s="14">
        <f>recovered!D20</f>
        <v>2.9314703592333098</v>
      </c>
      <c r="M24" s="14">
        <f>recovered!E20</f>
        <v>3.1622656142980201</v>
      </c>
      <c r="N24" s="14">
        <f>recovered!F20</f>
        <v>1.56307358577138</v>
      </c>
      <c r="O24" s="14">
        <f>recovered!G20</f>
        <v>6.5765835429520596</v>
      </c>
      <c r="P24" s="14">
        <f>recovered!H20</f>
        <v>7.0355927781502299</v>
      </c>
      <c r="Q24" s="14">
        <f>recovered!I20</f>
        <v>-0.16599361102257901</v>
      </c>
      <c r="R24" s="1">
        <f>recovered!K20</f>
        <v>0.248</v>
      </c>
      <c r="U24" s="2">
        <f t="shared" si="0"/>
        <v>0.80686898990652001</v>
      </c>
    </row>
    <row r="25" spans="1:21" x14ac:dyDescent="0.25">
      <c r="A25" s="3" t="s">
        <v>41</v>
      </c>
      <c r="B25" s="13">
        <f>recalled!C21</f>
        <v>382</v>
      </c>
      <c r="C25" s="11">
        <f>recalled!D21</f>
        <v>3.7797749088806198</v>
      </c>
      <c r="D25" s="11">
        <f>recalled!E21</f>
        <v>3.77063112777781</v>
      </c>
      <c r="E25" s="11">
        <f>recalled!F21</f>
        <v>1.28500818769518</v>
      </c>
      <c r="F25" s="11">
        <f>recalled!G21</f>
        <v>7.5563025128310199</v>
      </c>
      <c r="G25" s="11">
        <f>recalled!H21</f>
        <v>8.1511787983455104</v>
      </c>
      <c r="H25" s="11">
        <f>recalled!I21</f>
        <v>-4.9699250735420801E-2</v>
      </c>
      <c r="I25" s="1">
        <f>recalled!K21</f>
        <v>0.58299999999999996</v>
      </c>
      <c r="J25" s="1"/>
      <c r="K25" s="1">
        <f>recovered!C21</f>
        <v>220</v>
      </c>
      <c r="L25" s="14">
        <f>recovered!D21</f>
        <v>3.0105091591225799</v>
      </c>
      <c r="M25" s="14">
        <f>recovered!E21</f>
        <v>3.2654125336806699</v>
      </c>
      <c r="N25" s="14">
        <f>recovered!F21</f>
        <v>1.65972670671341</v>
      </c>
      <c r="O25" s="14">
        <f>recovered!G21</f>
        <v>7.0481495470251501</v>
      </c>
      <c r="P25" s="14">
        <f>recovered!H21</f>
        <v>7.4963706322218702</v>
      </c>
      <c r="Q25" s="14">
        <f>recovered!I21</f>
        <v>-8.6954811133305498E-2</v>
      </c>
      <c r="R25" s="1">
        <f>recovered!K21</f>
        <v>0.55300000000000005</v>
      </c>
      <c r="U25" s="2">
        <f t="shared" si="0"/>
        <v>0.59487628551449045</v>
      </c>
    </row>
    <row r="26" spans="1:21" x14ac:dyDescent="0.25">
      <c r="A26" s="3" t="s">
        <v>42</v>
      </c>
      <c r="B26" s="13">
        <f>recalled!C22</f>
        <v>370</v>
      </c>
      <c r="C26" s="11">
        <f>recalled!D22</f>
        <v>3.91419503206121</v>
      </c>
      <c r="D26" s="11">
        <f>recalled!E22</f>
        <v>3.8627870982353398</v>
      </c>
      <c r="E26" s="11">
        <f>recalled!F22</f>
        <v>1.14300991156374</v>
      </c>
      <c r="F26" s="11">
        <f>recalled!G22</f>
        <v>8.1565001586972006</v>
      </c>
      <c r="G26" s="11">
        <f>recalled!H22</f>
        <v>8.3587986771706007</v>
      </c>
      <c r="H26" s="11">
        <f>recalled!I22</f>
        <v>8.4720872445169904E-2</v>
      </c>
      <c r="I26" s="1">
        <f>recalled!K22</f>
        <v>0.35299999999999998</v>
      </c>
      <c r="J26" s="1"/>
      <c r="K26" s="1">
        <f>recovered!C22</f>
        <v>250</v>
      </c>
      <c r="L26" s="14">
        <f>recovered!D22</f>
        <v>3.05026287834071</v>
      </c>
      <c r="M26" s="14">
        <f>recovered!E22</f>
        <v>3.2761167303961698</v>
      </c>
      <c r="N26" s="14">
        <f>recovered!F22</f>
        <v>1.5709565015648601</v>
      </c>
      <c r="O26" s="14">
        <f>recovered!G22</f>
        <v>7.7139236219374103</v>
      </c>
      <c r="P26" s="14">
        <f>recovered!H22</f>
        <v>7.8480332681751896</v>
      </c>
      <c r="Q26" s="14">
        <f>recovered!I22</f>
        <v>-4.7201091915178101E-2</v>
      </c>
      <c r="R26" s="1">
        <f>recovered!K22</f>
        <v>0.73899999999999999</v>
      </c>
      <c r="U26" s="2">
        <f t="shared" si="0"/>
        <v>0.20229851847340008</v>
      </c>
    </row>
    <row r="27" spans="1:21" x14ac:dyDescent="0.25">
      <c r="A27" s="9" t="s">
        <v>15</v>
      </c>
      <c r="B27" s="1"/>
      <c r="C27" s="1"/>
      <c r="D27" s="1"/>
      <c r="E27" s="1"/>
      <c r="F27" s="1"/>
      <c r="G27" s="1"/>
      <c r="H27" s="1"/>
      <c r="I27" s="1" t="str">
        <f>recalled!K23</f>
        <v>&lt;0.001</v>
      </c>
      <c r="J27" s="1"/>
      <c r="K27" s="1"/>
      <c r="L27" s="1"/>
      <c r="M27" s="1"/>
      <c r="N27" s="1"/>
      <c r="O27" s="1"/>
      <c r="P27" s="1"/>
      <c r="Q27" s="1"/>
      <c r="R27" s="1" t="str">
        <f>recovered!K23</f>
        <v>&lt;0.001</v>
      </c>
      <c r="U27" s="2">
        <f t="shared" si="0"/>
        <v>0</v>
      </c>
    </row>
    <row r="28" spans="1:21" x14ac:dyDescent="0.25">
      <c r="A28" s="3">
        <v>1994</v>
      </c>
      <c r="B28" s="13">
        <f>recalled!C23</f>
        <v>50</v>
      </c>
      <c r="C28" s="11">
        <f>recalled!D23</f>
        <v>3.9783057327246598</v>
      </c>
      <c r="D28" s="11">
        <f>recalled!E23</f>
        <v>3.9585380247196298</v>
      </c>
      <c r="E28" s="11">
        <f>recalled!F23</f>
        <v>0.99880160911906002</v>
      </c>
      <c r="F28" s="11">
        <f>recalled!G23</f>
        <v>6.1374810258329298</v>
      </c>
      <c r="G28" s="11">
        <f>recalled!H23</f>
        <v>6.6811146401799197</v>
      </c>
      <c r="H28" s="11">
        <f>recalled!I23</f>
        <v>3.9783057327246598</v>
      </c>
      <c r="I28" s="1" t="s">
        <v>23</v>
      </c>
      <c r="J28" s="1"/>
      <c r="K28" s="1">
        <f>recovered!C23</f>
        <v>50</v>
      </c>
      <c r="L28" s="14">
        <f>recovered!D23</f>
        <v>3.3301916941778802</v>
      </c>
      <c r="M28" s="14">
        <f>recovered!E23</f>
        <v>3.5871609089879102</v>
      </c>
      <c r="N28" s="14">
        <f>recovered!F23</f>
        <v>1.3710292246851501</v>
      </c>
      <c r="O28" s="14">
        <f>recovered!G23</f>
        <v>5.47991777400944</v>
      </c>
      <c r="P28" s="14">
        <f>recovered!H23</f>
        <v>6.1319764730728696</v>
      </c>
      <c r="Q28" s="14">
        <f>recovered!I23</f>
        <v>3.3301916941778802</v>
      </c>
      <c r="R28" s="1" t="s">
        <v>23</v>
      </c>
      <c r="U28" s="2">
        <f t="shared" si="0"/>
        <v>0.54363361434698998</v>
      </c>
    </row>
    <row r="29" spans="1:21" x14ac:dyDescent="0.25">
      <c r="A29" s="3">
        <v>1995</v>
      </c>
      <c r="B29" s="13">
        <f>recalled!C24</f>
        <v>42</v>
      </c>
      <c r="C29" s="11">
        <f>recalled!D24</f>
        <v>3.99754913043185</v>
      </c>
      <c r="D29" s="11">
        <f>recalled!E24</f>
        <v>3.9243309847086798</v>
      </c>
      <c r="E29" s="11">
        <f>recalled!F24</f>
        <v>1.1369358396229701</v>
      </c>
      <c r="F29" s="11">
        <f>recalled!G24</f>
        <v>6.4999240932444202</v>
      </c>
      <c r="G29" s="11">
        <f>recalled!H24</f>
        <v>6.7523256928449102</v>
      </c>
      <c r="H29" s="11">
        <f>recalled!I24</f>
        <v>1.9243397707198E-2</v>
      </c>
      <c r="I29" s="1">
        <f>recalled!K24</f>
        <v>0.94099999999999995</v>
      </c>
      <c r="J29" s="1"/>
      <c r="K29" s="1">
        <f>recovered!C24</f>
        <v>42</v>
      </c>
      <c r="L29" s="14">
        <f>recovered!D24</f>
        <v>2.7838708613954202</v>
      </c>
      <c r="M29" s="14">
        <f>recovered!E24</f>
        <v>3.4353622955858598</v>
      </c>
      <c r="N29" s="14">
        <f>recovered!F24</f>
        <v>1.68845076061899</v>
      </c>
      <c r="O29" s="14">
        <f>recovered!G24</f>
        <v>5.6593998715914404</v>
      </c>
      <c r="P29" s="14">
        <f>recovered!H24</f>
        <v>6.1079588209306603</v>
      </c>
      <c r="Q29" s="14">
        <f>recovered!I24</f>
        <v>-0.54632083278244803</v>
      </c>
      <c r="R29" s="1">
        <f>recovered!K24</f>
        <v>8.2000000000000003E-2</v>
      </c>
      <c r="U29" s="2">
        <f t="shared" si="0"/>
        <v>0.25240159960049002</v>
      </c>
    </row>
    <row r="30" spans="1:21" x14ac:dyDescent="0.25">
      <c r="A30" s="3">
        <v>1996</v>
      </c>
      <c r="B30" s="13">
        <f>recalled!C25</f>
        <v>24</v>
      </c>
      <c r="C30" s="11">
        <f>recalled!D25</f>
        <v>3.7352060448134399</v>
      </c>
      <c r="D30" s="11">
        <f>recalled!E25</f>
        <v>3.4714712957848501</v>
      </c>
      <c r="E30" s="11">
        <f>recalled!F25</f>
        <v>0.99144449080030195</v>
      </c>
      <c r="F30" s="11">
        <f>recalled!G25</f>
        <v>5.6020610770628103</v>
      </c>
      <c r="G30" s="11">
        <f>recalled!H25</f>
        <v>5.99767770962199</v>
      </c>
      <c r="H30" s="11">
        <f>recalled!I25</f>
        <v>-0.243099687911217</v>
      </c>
      <c r="I30" s="1">
        <f>recalled!K25</f>
        <v>0.42099999999999999</v>
      </c>
      <c r="J30" s="1"/>
      <c r="K30" s="1">
        <f>recovered!C25</f>
        <v>24</v>
      </c>
      <c r="L30" s="14">
        <f>recovered!D25</f>
        <v>3.4521347706379899</v>
      </c>
      <c r="M30" s="14">
        <f>recovered!E25</f>
        <v>3.4551473587478498</v>
      </c>
      <c r="N30" s="14">
        <f>recovered!F25</f>
        <v>0.99221024671057201</v>
      </c>
      <c r="O30" s="14">
        <f>recovered!G25</f>
        <v>5.4992842113748601</v>
      </c>
      <c r="P30" s="14">
        <f>recovered!H25</f>
        <v>5.7639286411042603</v>
      </c>
      <c r="Q30" s="14">
        <f>recovered!I25</f>
        <v>0.121943076460111</v>
      </c>
      <c r="R30" s="1">
        <f>recovered!K25</f>
        <v>0.74399999999999999</v>
      </c>
      <c r="U30" s="2">
        <f t="shared" si="0"/>
        <v>0.39561663255917967</v>
      </c>
    </row>
    <row r="31" spans="1:21" x14ac:dyDescent="0.25">
      <c r="A31" s="3">
        <v>1997</v>
      </c>
      <c r="B31" s="13">
        <f>recalled!C26</f>
        <v>27</v>
      </c>
      <c r="C31" s="11">
        <f>recalled!D26</f>
        <v>4.1320109763492798</v>
      </c>
      <c r="D31" s="11">
        <f>recalled!E26</f>
        <v>4.1461590556048202</v>
      </c>
      <c r="E31" s="11">
        <f>recalled!F26</f>
        <v>1.3031092660444099</v>
      </c>
      <c r="F31" s="11">
        <f>recalled!G26</f>
        <v>7.3979400260438197</v>
      </c>
      <c r="G31" s="11">
        <f>recalled!H26</f>
        <v>7.4494782294807802</v>
      </c>
      <c r="H31" s="11">
        <f>recalled!I26</f>
        <v>0.15370524362461599</v>
      </c>
      <c r="I31" s="1">
        <f>recalled!K26</f>
        <v>0.59599999999999997</v>
      </c>
      <c r="J31" s="1"/>
      <c r="K31" s="1">
        <f>recovered!C26</f>
        <v>27</v>
      </c>
      <c r="L31" s="14">
        <f>recovered!D26</f>
        <v>3.3596042565777702</v>
      </c>
      <c r="M31" s="14">
        <f>recovered!E26</f>
        <v>3.6739419986340902</v>
      </c>
      <c r="N31" s="14">
        <f>recovered!F26</f>
        <v>1.6805278070260601</v>
      </c>
      <c r="O31" s="14">
        <f>recovered!G26</f>
        <v>7.0045122494051002</v>
      </c>
      <c r="P31" s="14">
        <f>recovered!H26</f>
        <v>7.05276240811137</v>
      </c>
      <c r="Q31" s="14">
        <f>recovered!I26</f>
        <v>2.9412562399893299E-2</v>
      </c>
      <c r="R31" s="1">
        <f>recovered!K26</f>
        <v>0.93500000000000005</v>
      </c>
      <c r="U31" s="2">
        <f t="shared" si="0"/>
        <v>5.1538203436960472E-2</v>
      </c>
    </row>
    <row r="32" spans="1:21" x14ac:dyDescent="0.25">
      <c r="A32" s="3">
        <v>1998</v>
      </c>
      <c r="B32" s="13">
        <f>recalled!C27</f>
        <v>44</v>
      </c>
      <c r="C32" s="11">
        <f>recalled!D27</f>
        <v>4.4028009285969398</v>
      </c>
      <c r="D32" s="11">
        <f>recalled!E27</f>
        <v>4.2346084156758996</v>
      </c>
      <c r="E32" s="11">
        <f>recalled!F27</f>
        <v>1.25129595917771</v>
      </c>
      <c r="F32" s="11">
        <f>recalled!G27</f>
        <v>7.5440680567586904</v>
      </c>
      <c r="G32" s="11">
        <f>recalled!H27</f>
        <v>7.6631386919521098</v>
      </c>
      <c r="H32" s="11">
        <f>recalled!I27</f>
        <v>0.42449519587228202</v>
      </c>
      <c r="I32" s="1">
        <f>recalled!K27</f>
        <v>9.0999999999999998E-2</v>
      </c>
      <c r="J32" s="1"/>
      <c r="K32" s="1">
        <f>recovered!C27</f>
        <v>44</v>
      </c>
      <c r="L32" s="14">
        <f>recovered!D27</f>
        <v>3.6911145867192898</v>
      </c>
      <c r="M32" s="14">
        <f>recovered!E27</f>
        <v>3.7698974881587701</v>
      </c>
      <c r="N32" s="14">
        <f>recovered!F27</f>
        <v>1.53843219567864</v>
      </c>
      <c r="O32" s="14">
        <f>recovered!G27</f>
        <v>6.7722333716324199</v>
      </c>
      <c r="P32" s="14">
        <f>recovered!H27</f>
        <v>7.1105537869366504</v>
      </c>
      <c r="Q32" s="14">
        <f>recovered!I27</f>
        <v>0.36092289254141102</v>
      </c>
      <c r="R32" s="1">
        <f>recovered!K27</f>
        <v>0.245</v>
      </c>
      <c r="U32" s="2">
        <f t="shared" si="0"/>
        <v>0.11907063519341943</v>
      </c>
    </row>
    <row r="33" spans="1:21" x14ac:dyDescent="0.25">
      <c r="A33" s="3">
        <v>1999</v>
      </c>
      <c r="B33" s="13">
        <f>recalled!C28</f>
        <v>62</v>
      </c>
      <c r="C33" s="11">
        <f>recalled!D28</f>
        <v>3.6603358833996098</v>
      </c>
      <c r="D33" s="11">
        <f>recalled!E28</f>
        <v>3.5919864157385</v>
      </c>
      <c r="E33" s="11">
        <f>recalled!F28</f>
        <v>1.3237667939456299</v>
      </c>
      <c r="F33" s="11">
        <f>recalled!G28</f>
        <v>7.5440680567586904</v>
      </c>
      <c r="G33" s="11">
        <f>recalled!H28</f>
        <v>7.6012829735406804</v>
      </c>
      <c r="H33" s="11">
        <f>recalled!I28</f>
        <v>-0.31796984932505301</v>
      </c>
      <c r="I33" s="1">
        <f>recalled!K28</f>
        <v>0.16900000000000001</v>
      </c>
      <c r="J33" s="1"/>
      <c r="K33" s="1">
        <f>recovered!C28</f>
        <v>62</v>
      </c>
      <c r="L33" s="14">
        <f>recovered!D28</f>
        <v>3.0414164556127901</v>
      </c>
      <c r="M33" s="14">
        <f>recovered!E28</f>
        <v>2.98446760990362</v>
      </c>
      <c r="N33" s="14">
        <f>recovered!F28</f>
        <v>1.4676563007371699</v>
      </c>
      <c r="O33" s="14">
        <f>recovered!G28</f>
        <v>6.9258737835720598</v>
      </c>
      <c r="P33" s="14">
        <f>recovered!H28</f>
        <v>6.9825681708346199</v>
      </c>
      <c r="Q33" s="14">
        <f>recovered!I28</f>
        <v>-0.28877523856508402</v>
      </c>
      <c r="R33" s="1">
        <f>recovered!K28</f>
        <v>0.312</v>
      </c>
      <c r="U33" s="2">
        <f t="shared" si="0"/>
        <v>5.7214916781989977E-2</v>
      </c>
    </row>
    <row r="34" spans="1:21" x14ac:dyDescent="0.25">
      <c r="A34" s="3">
        <v>2000</v>
      </c>
      <c r="B34" s="13">
        <f>recalled!C29</f>
        <v>85</v>
      </c>
      <c r="C34" s="11">
        <f>recalled!D29</f>
        <v>3.6191233611828602</v>
      </c>
      <c r="D34" s="11">
        <f>recalled!E29</f>
        <v>3.6335694425540899</v>
      </c>
      <c r="E34" s="11">
        <f>recalled!F29</f>
        <v>1.2686138155097</v>
      </c>
      <c r="F34" s="11">
        <f>recalled!G29</f>
        <v>7.2227164971532396</v>
      </c>
      <c r="G34" s="11">
        <f>recalled!H29</f>
        <v>7.3525264782111499</v>
      </c>
      <c r="H34" s="11">
        <f>recalled!I29</f>
        <v>-0.359182371541798</v>
      </c>
      <c r="I34" s="1">
        <f>recalled!K29</f>
        <v>9.9000000000000005E-2</v>
      </c>
      <c r="J34" s="1"/>
      <c r="K34" s="1" t="s">
        <v>43</v>
      </c>
      <c r="L34" s="1" t="s">
        <v>43</v>
      </c>
      <c r="M34" s="1" t="s">
        <v>43</v>
      </c>
      <c r="N34" s="1" t="s">
        <v>43</v>
      </c>
      <c r="O34" s="1" t="s">
        <v>43</v>
      </c>
      <c r="P34" s="1" t="s">
        <v>43</v>
      </c>
      <c r="Q34" s="1" t="s">
        <v>43</v>
      </c>
      <c r="R34" s="1" t="s">
        <v>43</v>
      </c>
      <c r="U34" s="2">
        <f t="shared" si="0"/>
        <v>0.12980998105791031</v>
      </c>
    </row>
    <row r="35" spans="1:21" x14ac:dyDescent="0.25">
      <c r="A35" s="3">
        <v>2001</v>
      </c>
      <c r="B35" s="13">
        <f>recalled!C30</f>
        <v>97</v>
      </c>
      <c r="C35" s="11">
        <f>recalled!D30</f>
        <v>3.87231171331414</v>
      </c>
      <c r="D35" s="11">
        <f>recalled!E30</f>
        <v>3.7482655726687399</v>
      </c>
      <c r="E35" s="11">
        <f>recalled!F30</f>
        <v>1.3634731913047899</v>
      </c>
      <c r="F35" s="11">
        <f>recalled!G30</f>
        <v>7.1643528855306302</v>
      </c>
      <c r="G35" s="11">
        <f>recalled!H30</f>
        <v>7.5026214847222299</v>
      </c>
      <c r="H35" s="11">
        <f>recalled!I30</f>
        <v>-0.10599401941052</v>
      </c>
      <c r="I35" s="1">
        <f>recalled!K30</f>
        <v>0.61899999999999999</v>
      </c>
      <c r="J35" s="1"/>
      <c r="K35" s="1" t="s">
        <v>43</v>
      </c>
      <c r="L35" s="1" t="s">
        <v>43</v>
      </c>
      <c r="M35" s="1" t="s">
        <v>43</v>
      </c>
      <c r="N35" s="1" t="s">
        <v>43</v>
      </c>
      <c r="O35" s="1" t="s">
        <v>43</v>
      </c>
      <c r="P35" s="1" t="s">
        <v>43</v>
      </c>
      <c r="Q35" s="1" t="s">
        <v>43</v>
      </c>
      <c r="R35" s="1" t="s">
        <v>43</v>
      </c>
      <c r="U35" s="2">
        <f t="shared" si="0"/>
        <v>0.33826859919159968</v>
      </c>
    </row>
    <row r="36" spans="1:21" x14ac:dyDescent="0.25">
      <c r="A36" s="3">
        <v>2002</v>
      </c>
      <c r="B36" s="13">
        <f>recalled!C31</f>
        <v>125</v>
      </c>
      <c r="C36" s="11">
        <f>recalled!D31</f>
        <v>3.40435351302968</v>
      </c>
      <c r="D36" s="11">
        <f>recalled!E31</f>
        <v>3.2407987711173298</v>
      </c>
      <c r="E36" s="11">
        <f>recalled!F31</f>
        <v>1.3727101172224301</v>
      </c>
      <c r="F36" s="11">
        <f>recalled!G31</f>
        <v>7.4471580468527403</v>
      </c>
      <c r="G36" s="11">
        <f>recalled!H31</f>
        <v>7.7667225656032501</v>
      </c>
      <c r="H36" s="11">
        <f>recalled!I31</f>
        <v>-0.573952219694988</v>
      </c>
      <c r="I36" s="1">
        <f>recalled!K31</f>
        <v>5.0000000000000001E-3</v>
      </c>
      <c r="J36" s="1"/>
      <c r="K36" s="1" t="s">
        <v>43</v>
      </c>
      <c r="L36" s="1" t="s">
        <v>43</v>
      </c>
      <c r="M36" s="1" t="s">
        <v>43</v>
      </c>
      <c r="N36" s="1" t="s">
        <v>43</v>
      </c>
      <c r="O36" s="1" t="s">
        <v>43</v>
      </c>
      <c r="P36" s="1" t="s">
        <v>43</v>
      </c>
      <c r="Q36" s="1" t="s">
        <v>43</v>
      </c>
      <c r="R36" s="1" t="s">
        <v>43</v>
      </c>
      <c r="U36" s="2">
        <f t="shared" si="0"/>
        <v>0.31956451875050984</v>
      </c>
    </row>
    <row r="37" spans="1:21" x14ac:dyDescent="0.25">
      <c r="A37" s="3">
        <v>2003</v>
      </c>
      <c r="B37" s="13">
        <f>recalled!C32</f>
        <v>68</v>
      </c>
      <c r="C37" s="11">
        <f>recalled!D32</f>
        <v>3.73348135809655</v>
      </c>
      <c r="D37" s="11">
        <f>recalled!E32</f>
        <v>3.8313957724212302</v>
      </c>
      <c r="E37" s="11">
        <f>recalled!F32</f>
        <v>1.0902181573498599</v>
      </c>
      <c r="F37" s="11">
        <f>recalled!G32</f>
        <v>5.8686450260730201</v>
      </c>
      <c r="G37" s="11">
        <f>recalled!H32</f>
        <v>6.5165782063077904</v>
      </c>
      <c r="H37" s="11">
        <f>recalled!I32</f>
        <v>-0.24482437462811299</v>
      </c>
      <c r="I37" s="1">
        <f>recalled!K32</f>
        <v>0.28599999999999998</v>
      </c>
      <c r="J37" s="1"/>
      <c r="K37" s="1" t="s">
        <v>43</v>
      </c>
      <c r="L37" s="1" t="s">
        <v>43</v>
      </c>
      <c r="M37" s="1" t="s">
        <v>43</v>
      </c>
      <c r="N37" s="1" t="s">
        <v>43</v>
      </c>
      <c r="O37" s="1" t="s">
        <v>43</v>
      </c>
      <c r="P37" s="1" t="s">
        <v>43</v>
      </c>
      <c r="Q37" s="1" t="s">
        <v>43</v>
      </c>
      <c r="R37" s="1" t="s">
        <v>43</v>
      </c>
      <c r="U37" s="2">
        <f t="shared" si="0"/>
        <v>0.64793318023477031</v>
      </c>
    </row>
    <row r="38" spans="1:21" x14ac:dyDescent="0.25">
      <c r="A38" s="3">
        <v>2004</v>
      </c>
      <c r="B38" s="13">
        <f>recalled!C33</f>
        <v>49</v>
      </c>
      <c r="C38" s="11">
        <f>recalled!D33</f>
        <v>4.0477687965530302</v>
      </c>
      <c r="D38" s="11">
        <f>recalled!E33</f>
        <v>4.4872939349832004</v>
      </c>
      <c r="E38" s="11">
        <f>recalled!F33</f>
        <v>1.11006471330208</v>
      </c>
      <c r="F38" s="11">
        <f>recalled!G33</f>
        <v>5.6963572625644101</v>
      </c>
      <c r="G38" s="11">
        <f>recalled!H33</f>
        <v>6.4591491845503199</v>
      </c>
      <c r="H38" s="11">
        <f>recalled!I33</f>
        <v>6.9463063828371197E-2</v>
      </c>
      <c r="I38" s="1">
        <f>recalled!K33</f>
        <v>0.78</v>
      </c>
      <c r="J38" s="1"/>
      <c r="K38" s="1" t="s">
        <v>43</v>
      </c>
      <c r="L38" s="1" t="s">
        <v>43</v>
      </c>
      <c r="M38" s="1" t="s">
        <v>43</v>
      </c>
      <c r="N38" s="1" t="s">
        <v>43</v>
      </c>
      <c r="O38" s="1" t="s">
        <v>43</v>
      </c>
      <c r="P38" s="1" t="s">
        <v>43</v>
      </c>
      <c r="Q38" s="1" t="s">
        <v>43</v>
      </c>
      <c r="R38" s="1" t="s">
        <v>43</v>
      </c>
      <c r="U38" s="2">
        <f t="shared" si="0"/>
        <v>0.76279192198590984</v>
      </c>
    </row>
    <row r="39" spans="1:21" x14ac:dyDescent="0.25">
      <c r="A39" s="3">
        <v>2005</v>
      </c>
      <c r="B39" s="13">
        <f>recalled!C34</f>
        <v>53</v>
      </c>
      <c r="C39" s="11">
        <f>recalled!D34</f>
        <v>3.8523022179050002</v>
      </c>
      <c r="D39" s="11">
        <f>recalled!E34</f>
        <v>3.75137577256656</v>
      </c>
      <c r="E39" s="11">
        <f>recalled!F34</f>
        <v>1.1682795660254699</v>
      </c>
      <c r="F39" s="11">
        <f>recalled!G34</f>
        <v>6.4471581864473597</v>
      </c>
      <c r="G39" s="11">
        <f>recalled!H34</f>
        <v>6.8093058643515798</v>
      </c>
      <c r="H39" s="11">
        <f>recalled!I34</f>
        <v>-0.12600351481965999</v>
      </c>
      <c r="I39" s="1">
        <f>recalled!K34</f>
        <v>0.60099999999999998</v>
      </c>
      <c r="J39" s="1"/>
      <c r="K39" s="1" t="s">
        <v>43</v>
      </c>
      <c r="L39" s="1" t="s">
        <v>43</v>
      </c>
      <c r="M39" s="1" t="s">
        <v>43</v>
      </c>
      <c r="N39" s="1" t="s">
        <v>43</v>
      </c>
      <c r="O39" s="1" t="s">
        <v>43</v>
      </c>
      <c r="P39" s="1" t="s">
        <v>43</v>
      </c>
      <c r="Q39" s="1" t="s">
        <v>43</v>
      </c>
      <c r="R39" s="1" t="s">
        <v>43</v>
      </c>
      <c r="U39" s="2">
        <f t="shared" si="0"/>
        <v>0.36214767790422009</v>
      </c>
    </row>
    <row r="40" spans="1:21" x14ac:dyDescent="0.25">
      <c r="A40" s="3">
        <v>2006</v>
      </c>
      <c r="B40" s="13">
        <f>recalled!C35</f>
        <v>34</v>
      </c>
      <c r="C40" s="11">
        <f>recalled!D35</f>
        <v>3.7039850298248802</v>
      </c>
      <c r="D40" s="11">
        <f>recalled!E35</f>
        <v>3.7703216337247998</v>
      </c>
      <c r="E40" s="11">
        <f>recalled!F35</f>
        <v>1.28757639799983</v>
      </c>
      <c r="F40" s="11">
        <f>recalled!G35</f>
        <v>6.6362207180647603</v>
      </c>
      <c r="G40" s="11">
        <f>recalled!H35</f>
        <v>6.7743660678031503</v>
      </c>
      <c r="H40" s="11">
        <f>recalled!I35</f>
        <v>-0.274320702899782</v>
      </c>
      <c r="I40" s="1">
        <f>recalled!K35</f>
        <v>0.31</v>
      </c>
      <c r="J40" s="1"/>
      <c r="K40" s="1">
        <f>recovered!C29</f>
        <v>34</v>
      </c>
      <c r="L40" s="14">
        <f>recovered!D29</f>
        <v>2.8388806967993201</v>
      </c>
      <c r="M40" s="14">
        <f>recovered!E29</f>
        <v>2.9821333516696402</v>
      </c>
      <c r="N40" s="14">
        <f>recovered!F29</f>
        <v>1.42829301833718</v>
      </c>
      <c r="O40" s="14">
        <f>recovered!G29</f>
        <v>5.7641910820291304</v>
      </c>
      <c r="P40" s="14">
        <f>recovered!H29</f>
        <v>5.9507353315975404</v>
      </c>
      <c r="Q40" s="14">
        <f>recovered!I29</f>
        <v>-0.49131099737855799</v>
      </c>
      <c r="R40" s="1">
        <f>recovered!K29</f>
        <v>0.14099999999999999</v>
      </c>
      <c r="U40" s="2">
        <f t="shared" si="0"/>
        <v>0.13814534973838999</v>
      </c>
    </row>
    <row r="41" spans="1:21" x14ac:dyDescent="0.25">
      <c r="A41" s="3">
        <v>2007</v>
      </c>
      <c r="B41" s="13">
        <f>recalled!C36</f>
        <v>58</v>
      </c>
      <c r="C41" s="11">
        <f>recalled!D36</f>
        <v>4.2564195729544299</v>
      </c>
      <c r="D41" s="11">
        <f>recalled!E36</f>
        <v>4.1171528199669796</v>
      </c>
      <c r="E41" s="11">
        <f>recalled!F36</f>
        <v>1.3987938691402799</v>
      </c>
      <c r="F41" s="11">
        <f>recalled!G36</f>
        <v>7.9237619660050296</v>
      </c>
      <c r="G41" s="11">
        <f>recalled!H36</f>
        <v>8.1555298231922499</v>
      </c>
      <c r="H41" s="11">
        <f>recalled!I36</f>
        <v>0.27811384022977698</v>
      </c>
      <c r="I41" s="1">
        <f>recalled!K36</f>
        <v>0.23599999999999999</v>
      </c>
      <c r="J41" s="1"/>
      <c r="K41" s="1">
        <f>recovered!C30</f>
        <v>58</v>
      </c>
      <c r="L41" s="14">
        <f>recovered!D30</f>
        <v>3.6147099315354199</v>
      </c>
      <c r="M41" s="14">
        <f>recovered!E30</f>
        <v>3.5024334760069999</v>
      </c>
      <c r="N41" s="14">
        <f>recovered!F30</f>
        <v>1.56076261991744</v>
      </c>
      <c r="O41" s="14">
        <f>recovered!G30</f>
        <v>7.2359839898673499</v>
      </c>
      <c r="P41" s="14">
        <f>recovered!H30</f>
        <v>7.6977024920735104</v>
      </c>
      <c r="Q41" s="14">
        <f>recovered!I30</f>
        <v>0.28451823735753701</v>
      </c>
      <c r="R41" s="1">
        <f>recovered!K30</f>
        <v>0.32600000000000001</v>
      </c>
      <c r="U41" s="2">
        <f t="shared" si="0"/>
        <v>0.23176785718722037</v>
      </c>
    </row>
    <row r="42" spans="1:21" x14ac:dyDescent="0.25">
      <c r="A42" s="3">
        <v>2008</v>
      </c>
      <c r="B42" s="13">
        <f>recalled!C37</f>
        <v>54</v>
      </c>
      <c r="C42" s="11">
        <f>recalled!D37</f>
        <v>4.0030288444303901</v>
      </c>
      <c r="D42" s="11">
        <f>recalled!E37</f>
        <v>3.93959603096049</v>
      </c>
      <c r="E42" s="11">
        <f>recalled!F37</f>
        <v>1.4290982044238201</v>
      </c>
      <c r="F42" s="11">
        <f>recalled!G37</f>
        <v>8.1565001586972006</v>
      </c>
      <c r="G42" s="11">
        <f>recalled!H37</f>
        <v>8.1895651591809298</v>
      </c>
      <c r="H42" s="11">
        <f>recalled!I37</f>
        <v>2.47231117057309E-2</v>
      </c>
      <c r="I42" s="1">
        <f>recalled!K37</f>
        <v>0.91800000000000004</v>
      </c>
      <c r="J42" s="1"/>
      <c r="K42" s="1">
        <f>recovered!C31</f>
        <v>54</v>
      </c>
      <c r="L42" s="14">
        <f>recovered!D31</f>
        <v>3.3466663632000002</v>
      </c>
      <c r="M42" s="14">
        <f>recovered!E31</f>
        <v>3.6554214502482298</v>
      </c>
      <c r="N42" s="14">
        <f>recovered!F31</f>
        <v>1.71317501356488</v>
      </c>
      <c r="O42" s="14">
        <f>recovered!G31</f>
        <v>7.7139236219374103</v>
      </c>
      <c r="P42" s="14">
        <f>recovered!H31</f>
        <v>7.7416760532437996</v>
      </c>
      <c r="Q42" s="14">
        <f>recovered!I31</f>
        <v>1.6474669022122499E-2</v>
      </c>
      <c r="R42" s="1">
        <f>recovered!K31</f>
        <v>0.95499999999999996</v>
      </c>
      <c r="U42" s="2">
        <f t="shared" si="0"/>
        <v>3.3065000483729179E-2</v>
      </c>
    </row>
    <row r="43" spans="1:21" x14ac:dyDescent="0.25">
      <c r="A43" s="3">
        <v>2009</v>
      </c>
      <c r="B43" s="13">
        <f>recalled!C38</f>
        <v>69</v>
      </c>
      <c r="C43" s="11">
        <f>recalled!D38</f>
        <v>4.0051139619576901</v>
      </c>
      <c r="D43" s="11">
        <f>recalled!E38</f>
        <v>3.9819399369294302</v>
      </c>
      <c r="E43" s="11">
        <f>recalled!F38</f>
        <v>1.18686961248697</v>
      </c>
      <c r="F43" s="11">
        <f>recalled!G38</f>
        <v>6.4281349560789396</v>
      </c>
      <c r="G43" s="11">
        <f>recalled!H38</f>
        <v>6.9772050682467803</v>
      </c>
      <c r="H43" s="11">
        <f>recalled!I38</f>
        <v>2.6808229233031701E-2</v>
      </c>
      <c r="I43" s="1">
        <f>recalled!K38</f>
        <v>0.90600000000000003</v>
      </c>
      <c r="J43" s="1"/>
      <c r="K43" s="1">
        <f>recovered!C32</f>
        <v>68</v>
      </c>
      <c r="L43" s="14">
        <f>recovered!D32</f>
        <v>3.2740541110546202</v>
      </c>
      <c r="M43" s="14">
        <f>recovered!E32</f>
        <v>3.4405928630151998</v>
      </c>
      <c r="N43" s="14">
        <f>recovered!F32</f>
        <v>1.470070370163</v>
      </c>
      <c r="O43" s="14">
        <f>recovered!G32</f>
        <v>6.0126925763402603</v>
      </c>
      <c r="P43" s="14">
        <f>recovered!H32</f>
        <v>6.56178450198981</v>
      </c>
      <c r="Q43" s="14">
        <f>recovered!I32</f>
        <v>-5.6137583123258498E-2</v>
      </c>
      <c r="R43" s="1">
        <f>recovered!K32</f>
        <v>0.84099999999999997</v>
      </c>
      <c r="U43" s="2">
        <f t="shared" si="0"/>
        <v>0.54907011216784074</v>
      </c>
    </row>
    <row r="44" spans="1:21" x14ac:dyDescent="0.25">
      <c r="A44" s="3">
        <v>2010</v>
      </c>
      <c r="B44" s="13">
        <f>recalled!C39</f>
        <v>70</v>
      </c>
      <c r="C44" s="11">
        <f>recalled!D39</f>
        <v>4.0905320393873401</v>
      </c>
      <c r="D44" s="11">
        <f>recalled!E39</f>
        <v>4.1194924642644004</v>
      </c>
      <c r="E44" s="11">
        <f>recalled!F39</f>
        <v>1.27041371408226</v>
      </c>
      <c r="F44" s="11">
        <f>recalled!G39</f>
        <v>7.1760912880086503</v>
      </c>
      <c r="G44" s="11">
        <f>recalled!H39</f>
        <v>7.5330332313196999</v>
      </c>
      <c r="H44" s="11">
        <f>recalled!I39</f>
        <v>0.112226306662689</v>
      </c>
      <c r="I44" s="1">
        <f>recalled!K39</f>
        <v>0.62</v>
      </c>
      <c r="J44" s="1"/>
      <c r="K44" s="1">
        <f>recovered!C33</f>
        <v>68</v>
      </c>
      <c r="L44" s="14">
        <f>recovered!D33</f>
        <v>3.33594830381583</v>
      </c>
      <c r="M44" s="14">
        <f>recovered!E33</f>
        <v>3.4692569105665201</v>
      </c>
      <c r="N44" s="14">
        <f>recovered!F33</f>
        <v>1.5282503338323301</v>
      </c>
      <c r="O44" s="14">
        <f>recovered!G33</f>
        <v>6.5765835429520596</v>
      </c>
      <c r="P44" s="14">
        <f>recovered!H33</f>
        <v>6.8240020228090197</v>
      </c>
      <c r="Q44" s="14">
        <f>recovered!I33</f>
        <v>5.7566096379558203E-3</v>
      </c>
      <c r="R44" s="1">
        <f>recovered!K33</f>
        <v>0.98399999999999999</v>
      </c>
      <c r="U44" s="2">
        <f t="shared" si="0"/>
        <v>0.35694194331104967</v>
      </c>
    </row>
    <row r="45" spans="1:21" x14ac:dyDescent="0.25">
      <c r="A45" s="3">
        <v>2011</v>
      </c>
      <c r="B45" s="13">
        <f>recalled!C40</f>
        <v>103</v>
      </c>
      <c r="C45" s="11">
        <f>recalled!D40</f>
        <v>3.6830249028757098</v>
      </c>
      <c r="D45" s="11">
        <f>recalled!E40</f>
        <v>3.6703386411274401</v>
      </c>
      <c r="E45" s="11">
        <f>recalled!F40</f>
        <v>1.1376437190367501</v>
      </c>
      <c r="F45" s="11">
        <f>recalled!G40</f>
        <v>7.5563025128310199</v>
      </c>
      <c r="G45" s="11">
        <f>recalled!H40</f>
        <v>7.5988158745084498</v>
      </c>
      <c r="H45" s="11">
        <f>recalled!I40</f>
        <v>-0.29528082984894299</v>
      </c>
      <c r="I45" s="1">
        <f>recalled!K40</f>
        <v>0.16300000000000001</v>
      </c>
      <c r="J45" s="1"/>
      <c r="K45" s="1">
        <f>recovered!C34</f>
        <v>98</v>
      </c>
      <c r="L45" s="14">
        <f>recovered!D34</f>
        <v>2.9409801202899102</v>
      </c>
      <c r="M45" s="14">
        <f>recovered!E34</f>
        <v>3.0716435821593899</v>
      </c>
      <c r="N45" s="14">
        <f>recovered!F34</f>
        <v>1.39976526434816</v>
      </c>
      <c r="O45" s="14">
        <f>recovered!G34</f>
        <v>6.3073623059700799</v>
      </c>
      <c r="P45" s="14">
        <f>recovered!H34</f>
        <v>6.55958766639736</v>
      </c>
      <c r="Q45" s="14">
        <f>recovered!I34</f>
        <v>-0.38921157388797201</v>
      </c>
      <c r="R45" s="1">
        <f>recovered!K34</f>
        <v>0.13600000000000001</v>
      </c>
      <c r="U45" s="2">
        <f t="shared" si="0"/>
        <v>4.2513361677429806E-2</v>
      </c>
    </row>
    <row r="46" spans="1:21" x14ac:dyDescent="0.25">
      <c r="A46" s="3">
        <v>2012</v>
      </c>
      <c r="B46" s="13">
        <f>recalled!C41</f>
        <v>82</v>
      </c>
      <c r="C46" s="11">
        <f>recalled!D41</f>
        <v>3.6828394745995801</v>
      </c>
      <c r="D46" s="11">
        <f>recalled!E41</f>
        <v>3.61288976928748</v>
      </c>
      <c r="E46" s="11">
        <f>recalled!F41</f>
        <v>0.93771349776297097</v>
      </c>
      <c r="F46" s="11">
        <f>recalled!G41</f>
        <v>6.2476298662373901</v>
      </c>
      <c r="G46" s="11">
        <f>recalled!H41</f>
        <v>6.5409691810236898</v>
      </c>
      <c r="H46" s="11">
        <f>recalled!I41</f>
        <v>-0.29546625812506799</v>
      </c>
      <c r="I46" s="1">
        <f>recalled!K41</f>
        <v>0.17699999999999999</v>
      </c>
      <c r="J46" s="1"/>
      <c r="K46" s="1">
        <f>recovered!C35</f>
        <v>75</v>
      </c>
      <c r="L46" s="14">
        <f>recovered!D35</f>
        <v>2.9760002302634598</v>
      </c>
      <c r="M46" s="14">
        <f>recovered!E35</f>
        <v>3.1267805770120098</v>
      </c>
      <c r="N46" s="14">
        <f>recovered!F35</f>
        <v>1.3764611440686501</v>
      </c>
      <c r="O46" s="14">
        <f>recovered!G35</f>
        <v>6.1132897486376399</v>
      </c>
      <c r="P46" s="14">
        <f>recovered!H35</f>
        <v>6.3411780271406704</v>
      </c>
      <c r="Q46" s="14">
        <f>recovered!I35</f>
        <v>-0.35419146391441803</v>
      </c>
      <c r="R46" s="1">
        <f>recovered!K35</f>
        <v>0.19700000000000001</v>
      </c>
      <c r="U46" s="2">
        <f t="shared" si="0"/>
        <v>0.29333931478629971</v>
      </c>
    </row>
    <row r="47" spans="1:21" x14ac:dyDescent="0.25">
      <c r="A47" s="3">
        <v>2013</v>
      </c>
      <c r="B47" s="13">
        <f>recalled!C42</f>
        <v>75</v>
      </c>
      <c r="C47" s="11">
        <f>recalled!D42</f>
        <v>3.84517864336321</v>
      </c>
      <c r="D47" s="11">
        <f>recalled!E42</f>
        <v>3.7900035203904898</v>
      </c>
      <c r="E47" s="11">
        <f>recalled!F42</f>
        <v>1.00426656120519</v>
      </c>
      <c r="F47" s="11">
        <f>recalled!G42</f>
        <v>7.0211893404313201</v>
      </c>
      <c r="G47" s="11">
        <f>recalled!H42</f>
        <v>7.1171646649288203</v>
      </c>
      <c r="H47" s="11">
        <f>recalled!I42</f>
        <v>-0.13312708936144399</v>
      </c>
      <c r="I47" s="1">
        <f>recalled!K42</f>
        <v>0.55100000000000005</v>
      </c>
      <c r="J47" s="1"/>
      <c r="K47" s="1">
        <f>recovered!C36</f>
        <v>60</v>
      </c>
      <c r="L47" s="14">
        <f>recovered!D36</f>
        <v>3.1395036544495198</v>
      </c>
      <c r="M47" s="14">
        <f>recovered!E36</f>
        <v>3.2359453267962999</v>
      </c>
      <c r="N47" s="14">
        <f>recovered!F36</f>
        <v>1.27837019808692</v>
      </c>
      <c r="O47" s="14">
        <f>recovered!G36</f>
        <v>5.1536502584030304</v>
      </c>
      <c r="P47" s="14">
        <f>recovered!H36</f>
        <v>5.9419440208870702</v>
      </c>
      <c r="Q47" s="14">
        <f>recovered!I36</f>
        <v>-0.19068803972835199</v>
      </c>
      <c r="R47" s="1">
        <f>recovered!K36</f>
        <v>0.50700000000000001</v>
      </c>
      <c r="U47" s="2">
        <f t="shared" si="0"/>
        <v>9.5975324497500125E-2</v>
      </c>
    </row>
    <row r="48" spans="1:21" x14ac:dyDescent="0.25">
      <c r="A48" s="3">
        <v>2014</v>
      </c>
      <c r="B48" s="13">
        <f>recalled!C43</f>
        <v>94</v>
      </c>
      <c r="C48" s="11">
        <f>recalled!D43</f>
        <v>3.9407142607492802</v>
      </c>
      <c r="D48" s="11">
        <f>recalled!E43</f>
        <v>4.0174388587163001</v>
      </c>
      <c r="E48" s="11">
        <f>recalled!F43</f>
        <v>1.22382668585857</v>
      </c>
      <c r="F48" s="11">
        <f>recalled!G43</f>
        <v>6.9416456257896799</v>
      </c>
      <c r="G48" s="11">
        <f>recalled!H43</f>
        <v>7.2712629825311401</v>
      </c>
      <c r="H48" s="11">
        <f>recalled!I43</f>
        <v>-3.7591471975376302E-2</v>
      </c>
      <c r="I48" s="1">
        <f>recalled!K43</f>
        <v>0.86</v>
      </c>
      <c r="J48" s="1"/>
      <c r="K48" s="1">
        <f>recovered!C37</f>
        <v>57</v>
      </c>
      <c r="L48" s="14">
        <f>recovered!D37</f>
        <v>2.9330910266234702</v>
      </c>
      <c r="M48" s="14">
        <f>recovered!E37</f>
        <v>3.1586639808139898</v>
      </c>
      <c r="N48" s="14">
        <f>recovered!F37</f>
        <v>1.5430090741231499</v>
      </c>
      <c r="O48" s="14">
        <f>recovered!G37</f>
        <v>5.53124254543782</v>
      </c>
      <c r="P48" s="14">
        <f>recovered!H37</f>
        <v>6.1154224430800603</v>
      </c>
      <c r="Q48" s="14">
        <f>recovered!I37</f>
        <v>-0.39710066755442103</v>
      </c>
      <c r="R48" s="1">
        <f>recovered!K37</f>
        <v>0.17299999999999999</v>
      </c>
      <c r="U48" s="2">
        <f t="shared" si="0"/>
        <v>0.3296173567414602</v>
      </c>
    </row>
    <row r="49" spans="1:21" x14ac:dyDescent="0.25">
      <c r="A49" s="5">
        <v>2015</v>
      </c>
      <c r="B49" s="13">
        <f>recalled!C44</f>
        <v>150</v>
      </c>
      <c r="C49" s="11">
        <f>recalled!D44</f>
        <v>3.6483956478704198</v>
      </c>
      <c r="D49" s="11">
        <f>recalled!E44</f>
        <v>3.6010599139172501</v>
      </c>
      <c r="E49" s="11">
        <f>recalled!F44</f>
        <v>1.1779917696495401</v>
      </c>
      <c r="F49" s="11">
        <f>recalled!G44</f>
        <v>6.9577693391620903</v>
      </c>
      <c r="G49" s="11">
        <f>recalled!H44</f>
        <v>7.32302709592215</v>
      </c>
      <c r="H49" s="11">
        <f>recalled!I44</f>
        <v>-0.32991008485423901</v>
      </c>
      <c r="I49" s="1">
        <f>recalled!K44</f>
        <v>9.8000000000000004E-2</v>
      </c>
      <c r="J49" s="1"/>
      <c r="K49" s="1">
        <f>recovered!C38</f>
        <v>123</v>
      </c>
      <c r="L49" s="14">
        <f>recovered!D38</f>
        <v>1.97087686113923</v>
      </c>
      <c r="M49" s="14">
        <f>recovered!E38</f>
        <v>2.2810333672477299</v>
      </c>
      <c r="N49" s="14">
        <f>recovered!F38</f>
        <v>1.6447262105664699</v>
      </c>
      <c r="O49" s="14">
        <f>recovered!G38</f>
        <v>5.0751161027898002</v>
      </c>
      <c r="P49" s="14">
        <f>recovered!H38</f>
        <v>5.7250806168924298</v>
      </c>
      <c r="Q49" s="14">
        <f>recovered!I38</f>
        <v>-1.35931483303864</v>
      </c>
      <c r="R49" s="1" t="str">
        <f>recovered!K38</f>
        <v>&lt;0.001</v>
      </c>
      <c r="U49" s="2">
        <f t="shared" si="0"/>
        <v>0.36525775676005967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4"/>
  <sheetViews>
    <sheetView workbookViewId="0">
      <selection activeCell="B18" sqref="B18"/>
    </sheetView>
  </sheetViews>
  <sheetFormatPr defaultRowHeight="15" x14ac:dyDescent="0.25"/>
  <cols>
    <col min="10" max="10" width="0" hidden="1" customWidth="1"/>
  </cols>
  <sheetData>
    <row r="1" spans="1:11" x14ac:dyDescent="0.25">
      <c r="A1">
        <f>'[1]T1-Basic Desc Stats'!A1</f>
        <v>0</v>
      </c>
      <c r="B1" t="str">
        <f>'[1]T1-Basic Desc Stats'!B1</f>
        <v>Covariate</v>
      </c>
      <c r="C1" t="str">
        <f>'[1]T1-Basic Desc Stats'!C1</f>
        <v>n</v>
      </c>
      <c r="D1" t="str">
        <f>'[1]T1-Basic Desc Stats'!D1</f>
        <v>mean</v>
      </c>
      <c r="E1" t="str">
        <f>'[1]T1-Basic Desc Stats'!E1</f>
        <v>med</v>
      </c>
      <c r="F1" t="str">
        <f>'[1]T1-Basic Desc Stats'!F1</f>
        <v>sd</v>
      </c>
      <c r="G1" t="str">
        <f>'[1]T1-Basic Desc Stats'!G1</f>
        <v>max</v>
      </c>
      <c r="H1" t="str">
        <f>'[1]T1-Basic Desc Stats'!H1</f>
        <v>sum</v>
      </c>
      <c r="I1" t="str">
        <f>'[1]T1-Basic Desc Stats'!I1</f>
        <v>coef</v>
      </c>
      <c r="J1" t="str">
        <f>'[1]T1-Basic Desc Stats'!J1</f>
        <v>pval</v>
      </c>
      <c r="K1" t="str">
        <f>'[1]T1-Basic Desc Stats'!K1</f>
        <v>pval_txt</v>
      </c>
    </row>
    <row r="2" spans="1:11" x14ac:dyDescent="0.25">
      <c r="A2">
        <f>'[1]T1-Basic Desc Stats'!A2</f>
        <v>1</v>
      </c>
      <c r="B2" t="str">
        <f>'[1]T1-Basic Desc Stats'!B2</f>
        <v>Full</v>
      </c>
      <c r="C2">
        <f>'[1]T1-Basic Desc Stats'!C2</f>
        <v>1515</v>
      </c>
      <c r="D2">
        <f>'[1]T1-Basic Desc Stats'!D2</f>
        <v>3.8257936536278199</v>
      </c>
      <c r="E2">
        <f>'[1]T1-Basic Desc Stats'!E2</f>
        <v>3.7994094796151301</v>
      </c>
      <c r="F2">
        <f>'[1]T1-Basic Desc Stats'!F2</f>
        <v>1.2282719961606099</v>
      </c>
      <c r="G2">
        <f>'[1]T1-Basic Desc Stats'!G2</f>
        <v>8.1565001586972006</v>
      </c>
      <c r="H2">
        <f>'[1]T1-Basic Desc Stats'!H2</f>
        <v>8.8415389015103507</v>
      </c>
      <c r="I2" t="str">
        <f>'[1]T1-Basic Desc Stats'!I2</f>
        <v>NA</v>
      </c>
      <c r="J2" t="str">
        <f>'[1]T1-Basic Desc Stats'!J2</f>
        <v>NA</v>
      </c>
      <c r="K2" t="str">
        <f>'[1]T1-Basic Desc Stats'!K2</f>
        <v>NA</v>
      </c>
    </row>
    <row r="3" spans="1:11" x14ac:dyDescent="0.25">
      <c r="A3">
        <f>'[1]T1-Basic Desc Stats'!A3</f>
        <v>2</v>
      </c>
      <c r="B3" t="str">
        <f>'[1]T1-Basic Desc Stats'!B3</f>
        <v>Class I</v>
      </c>
      <c r="C3">
        <f>'[1]T1-Basic Desc Stats'!C3</f>
        <v>1075</v>
      </c>
      <c r="D3">
        <f>'[1]T1-Basic Desc Stats'!D3</f>
        <v>3.7299871858402298</v>
      </c>
      <c r="E3">
        <f>'[1]T1-Basic Desc Stats'!E3</f>
        <v>3.6549910294116601</v>
      </c>
      <c r="F3">
        <f>'[1]T1-Basic Desc Stats'!F3</f>
        <v>1.28560241893969</v>
      </c>
      <c r="G3">
        <f>'[1]T1-Basic Desc Stats'!G3</f>
        <v>7.9237619660050296</v>
      </c>
      <c r="H3">
        <f>'[1]T1-Basic Desc Stats'!H3</f>
        <v>8.7032525581969509</v>
      </c>
      <c r="I3">
        <f>'[1]T1-Basic Desc Stats'!I3</f>
        <v>3.7299871858402298</v>
      </c>
      <c r="J3" s="12">
        <f>'[1]T1-Basic Desc Stats'!J3</f>
        <v>1.8991818055202498E-5</v>
      </c>
      <c r="K3" t="str">
        <f>'[1]T1-Basic Desc Stats'!K3</f>
        <v>&lt;0.001</v>
      </c>
    </row>
    <row r="4" spans="1:11" x14ac:dyDescent="0.25">
      <c r="A4">
        <f>'[1]T1-Basic Desc Stats'!A4</f>
        <v>3</v>
      </c>
      <c r="B4" t="str">
        <f>'[1]T1-Basic Desc Stats'!B4</f>
        <v>Class II</v>
      </c>
      <c r="C4">
        <f>'[1]T1-Basic Desc Stats'!C4</f>
        <v>313</v>
      </c>
      <c r="D4">
        <f>'[1]T1-Basic Desc Stats'!D4</f>
        <v>4.0901464123489601</v>
      </c>
      <c r="E4">
        <f>'[1]T1-Basic Desc Stats'!E4</f>
        <v>4.1238842934600104</v>
      </c>
      <c r="F4">
        <f>'[1]T1-Basic Desc Stats'!F4</f>
        <v>1.02079595924387</v>
      </c>
      <c r="G4">
        <f>'[1]T1-Basic Desc Stats'!G4</f>
        <v>8.1565001586972006</v>
      </c>
      <c r="H4">
        <f>'[1]T1-Basic Desc Stats'!H4</f>
        <v>8.2492025584052993</v>
      </c>
      <c r="I4">
        <f>'[1]T1-Basic Desc Stats'!I4</f>
        <v>0.360159226508734</v>
      </c>
      <c r="J4" s="12">
        <f>'[1]T1-Basic Desc Stats'!J4</f>
        <v>6.5221044341092998E-6</v>
      </c>
      <c r="K4" t="str">
        <f>'[1]T1-Basic Desc Stats'!K4</f>
        <v>&lt;0.001</v>
      </c>
    </row>
    <row r="5" spans="1:11" x14ac:dyDescent="0.25">
      <c r="A5">
        <f>'[1]T1-Basic Desc Stats'!A5</f>
        <v>4</v>
      </c>
      <c r="B5" t="str">
        <f>'[1]T1-Basic Desc Stats'!B5</f>
        <v>Class III</v>
      </c>
      <c r="C5">
        <f>'[1]T1-Basic Desc Stats'!C5</f>
        <v>119</v>
      </c>
      <c r="D5">
        <f>'[1]T1-Basic Desc Stats'!D5</f>
        <v>3.9535500226974598</v>
      </c>
      <c r="E5">
        <f>'[1]T1-Basic Desc Stats'!E5</f>
        <v>3.9777693180915699</v>
      </c>
      <c r="F5">
        <f>'[1]T1-Basic Desc Stats'!F5</f>
        <v>1.0777662889317099</v>
      </c>
      <c r="G5">
        <f>'[1]T1-Basic Desc Stats'!G5</f>
        <v>6.4281349560789396</v>
      </c>
      <c r="H5">
        <f>'[1]T1-Basic Desc Stats'!H5</f>
        <v>7.0353361446441403</v>
      </c>
      <c r="I5">
        <f>'[1]T1-Basic Desc Stats'!I5</f>
        <v>0.223562836857226</v>
      </c>
      <c r="J5">
        <f>'[1]T1-Basic Desc Stats'!J5</f>
        <v>6.4452138986322502E-2</v>
      </c>
      <c r="K5">
        <f>'[1]T1-Basic Desc Stats'!K5</f>
        <v>6.4000000000000001E-2</v>
      </c>
    </row>
    <row r="6" spans="1:11" x14ac:dyDescent="0.25">
      <c r="A6">
        <f>'[1]T1-Basic Desc Stats'!A6</f>
        <v>5</v>
      </c>
      <c r="B6" t="str">
        <f>'[1]T1-Basic Desc Stats'!B6</f>
        <v>None Assigned</v>
      </c>
      <c r="C6">
        <f>'[1]T1-Basic Desc Stats'!C6</f>
        <v>8</v>
      </c>
      <c r="D6">
        <f>'[1]T1-Basic Desc Stats'!D6</f>
        <v>4.8040974276308397</v>
      </c>
      <c r="E6">
        <f>'[1]T1-Basic Desc Stats'!E6</f>
        <v>4.8207457806775604</v>
      </c>
      <c r="F6">
        <f>'[1]T1-Basic Desc Stats'!F6</f>
        <v>0.71930510097815803</v>
      </c>
      <c r="G6">
        <f>'[1]T1-Basic Desc Stats'!G6</f>
        <v>5.7573967880484496</v>
      </c>
      <c r="H6">
        <f>'[1]T1-Basic Desc Stats'!H6</f>
        <v>5.99235377596953</v>
      </c>
      <c r="I6" t="str">
        <f>'[1]T1-Basic Desc Stats'!I6</f>
        <v>NA</v>
      </c>
      <c r="J6" t="str">
        <f>'[1]T1-Basic Desc Stats'!J6</f>
        <v>NA</v>
      </c>
      <c r="K6" t="str">
        <f>'[1]T1-Basic Desc Stats'!K6</f>
        <v>NA</v>
      </c>
    </row>
    <row r="7" spans="1:11" x14ac:dyDescent="0.25">
      <c r="A7">
        <f>'[1]T1-Basic Desc Stats'!A7</f>
        <v>6</v>
      </c>
      <c r="B7" t="str">
        <f>'[1]T1-Basic Desc Stats'!B7</f>
        <v>beef</v>
      </c>
      <c r="C7">
        <f>'[1]T1-Basic Desc Stats'!C7</f>
        <v>485</v>
      </c>
      <c r="D7">
        <f>'[1]T1-Basic Desc Stats'!D7</f>
        <v>3.8838026675025401</v>
      </c>
      <c r="E7">
        <f>'[1]T1-Basic Desc Stats'!E7</f>
        <v>3.7952541825808801</v>
      </c>
      <c r="F7">
        <f>'[1]T1-Basic Desc Stats'!F7</f>
        <v>1.3258162166994301</v>
      </c>
      <c r="G7">
        <f>'[1]T1-Basic Desc Stats'!G7</f>
        <v>8.1565001586972006</v>
      </c>
      <c r="H7">
        <f>'[1]T1-Basic Desc Stats'!H7</f>
        <v>8.4754044568822895</v>
      </c>
      <c r="I7">
        <f>'[1]T1-Basic Desc Stats'!I7</f>
        <v>3.8838026675025499</v>
      </c>
      <c r="J7">
        <f>'[1]T1-Basic Desc Stats'!J7</f>
        <v>5.0695394302303605E-4</v>
      </c>
      <c r="K7" t="str">
        <f>'[1]T1-Basic Desc Stats'!K7</f>
        <v>&lt;0.001</v>
      </c>
    </row>
    <row r="8" spans="1:11" x14ac:dyDescent="0.25">
      <c r="A8">
        <f>'[1]T1-Basic Desc Stats'!A8</f>
        <v>7</v>
      </c>
      <c r="B8" t="str">
        <f>'[1]T1-Basic Desc Stats'!B8</f>
        <v>mixed</v>
      </c>
      <c r="C8">
        <f>'[1]T1-Basic Desc Stats'!C8</f>
        <v>485</v>
      </c>
      <c r="D8">
        <f>'[1]T1-Basic Desc Stats'!D8</f>
        <v>3.78507503391925</v>
      </c>
      <c r="E8">
        <f>'[1]T1-Basic Desc Stats'!E8</f>
        <v>3.7842403255375099</v>
      </c>
      <c r="F8">
        <f>'[1]T1-Basic Desc Stats'!F8</f>
        <v>1.2386107096041099</v>
      </c>
      <c r="G8">
        <f>'[1]T1-Basic Desc Stats'!G8</f>
        <v>7.9237619660050296</v>
      </c>
      <c r="H8">
        <f>'[1]T1-Basic Desc Stats'!H8</f>
        <v>8.4049335227789097</v>
      </c>
      <c r="I8">
        <f>'[1]T1-Basic Desc Stats'!I8</f>
        <v>-9.8727633583291202E-2</v>
      </c>
      <c r="J8">
        <f>'[1]T1-Basic Desc Stats'!J8</f>
        <v>0.21700940982856101</v>
      </c>
      <c r="K8">
        <f>'[1]T1-Basic Desc Stats'!K8</f>
        <v>0.217</v>
      </c>
    </row>
    <row r="9" spans="1:11" x14ac:dyDescent="0.25">
      <c r="A9">
        <f>'[1]T1-Basic Desc Stats'!A9</f>
        <v>8</v>
      </c>
      <c r="B9" t="str">
        <f>'[1]T1-Basic Desc Stats'!B9</f>
        <v>pork</v>
      </c>
      <c r="C9">
        <f>'[1]T1-Basic Desc Stats'!C9</f>
        <v>203</v>
      </c>
      <c r="D9">
        <f>'[1]T1-Basic Desc Stats'!D9</f>
        <v>3.5342387890562099</v>
      </c>
      <c r="E9">
        <f>'[1]T1-Basic Desc Stats'!E9</f>
        <v>3.55642312137129</v>
      </c>
      <c r="F9">
        <f>'[1]T1-Basic Desc Stats'!F9</f>
        <v>1.03855004479665</v>
      </c>
      <c r="G9">
        <f>'[1]T1-Basic Desc Stats'!G9</f>
        <v>6.4281349560789396</v>
      </c>
      <c r="H9">
        <f>'[1]T1-Basic Desc Stats'!H9</f>
        <v>6.9275766295949301</v>
      </c>
      <c r="I9">
        <f>'[1]T1-Basic Desc Stats'!I9</f>
        <v>-0.34956387844634201</v>
      </c>
      <c r="J9">
        <f>'[1]T1-Basic Desc Stats'!J9</f>
        <v>7.3574230432733E-4</v>
      </c>
      <c r="K9" t="str">
        <f>'[1]T1-Basic Desc Stats'!K9</f>
        <v>&lt;0.001</v>
      </c>
    </row>
    <row r="10" spans="1:11" x14ac:dyDescent="0.25">
      <c r="A10">
        <f>'[1]T1-Basic Desc Stats'!A10</f>
        <v>9</v>
      </c>
      <c r="B10" t="str">
        <f>'[1]T1-Basic Desc Stats'!B10</f>
        <v>poultry</v>
      </c>
      <c r="C10">
        <f>'[1]T1-Basic Desc Stats'!C10</f>
        <v>342</v>
      </c>
      <c r="D10">
        <f>'[1]T1-Basic Desc Stats'!D10</f>
        <v>3.9733847609478601</v>
      </c>
      <c r="E10">
        <f>'[1]T1-Basic Desc Stats'!E10</f>
        <v>4.0164059854267498</v>
      </c>
      <c r="F10">
        <f>'[1]T1-Basic Desc Stats'!F10</f>
        <v>1.14551105590958</v>
      </c>
      <c r="G10">
        <f>'[1]T1-Basic Desc Stats'!G10</f>
        <v>7.5563025128310199</v>
      </c>
      <c r="H10">
        <f>'[1]T1-Basic Desc Stats'!H10</f>
        <v>8.1236817169520794</v>
      </c>
      <c r="I10">
        <f>'[1]T1-Basic Desc Stats'!I10</f>
        <v>8.9582093445313205E-2</v>
      </c>
      <c r="J10">
        <f>'[1]T1-Basic Desc Stats'!J10</f>
        <v>0.30483852943859302</v>
      </c>
      <c r="K10">
        <f>'[1]T1-Basic Desc Stats'!K10</f>
        <v>0.30499999999999999</v>
      </c>
    </row>
    <row r="11" spans="1:11" x14ac:dyDescent="0.25">
      <c r="A11">
        <f>'[1]T1-Basic Desc Stats'!A11</f>
        <v>10</v>
      </c>
      <c r="B11" t="str">
        <f>'[1]T1-Basic Desc Stats'!B11</f>
        <v>Undeclared Allergen</v>
      </c>
      <c r="C11">
        <f>'[1]T1-Basic Desc Stats'!C11</f>
        <v>332</v>
      </c>
      <c r="D11">
        <f>'[1]T1-Basic Desc Stats'!D11</f>
        <v>3.8843887226903901</v>
      </c>
      <c r="E11">
        <f>'[1]T1-Basic Desc Stats'!E11</f>
        <v>3.8989792997464199</v>
      </c>
      <c r="F11">
        <f>'[1]T1-Basic Desc Stats'!F11</f>
        <v>1.02977038575803</v>
      </c>
      <c r="G11">
        <f>'[1]T1-Basic Desc Stats'!G11</f>
        <v>6.9577693391620903</v>
      </c>
      <c r="H11">
        <f>'[1]T1-Basic Desc Stats'!H11</f>
        <v>7.54494994492525</v>
      </c>
      <c r="I11">
        <f>'[1]T1-Basic Desc Stats'!I11</f>
        <v>3.8843887226903999</v>
      </c>
      <c r="J11" s="12">
        <f>'[1]T1-Basic Desc Stats'!J11</f>
        <v>2.0541341487908399E-23</v>
      </c>
      <c r="K11" t="str">
        <f>'[1]T1-Basic Desc Stats'!K11</f>
        <v>&lt;0.001</v>
      </c>
    </row>
    <row r="12" spans="1:11" x14ac:dyDescent="0.25">
      <c r="A12">
        <f>'[1]T1-Basic Desc Stats'!A12</f>
        <v>11</v>
      </c>
      <c r="B12" t="str">
        <f>'[1]T1-Basic Desc Stats'!B12</f>
        <v>STEC</v>
      </c>
      <c r="C12">
        <f>'[1]T1-Basic Desc Stats'!C12</f>
        <v>270</v>
      </c>
      <c r="D12">
        <f>'[1]T1-Basic Desc Stats'!D12</f>
        <v>3.9559048068827098</v>
      </c>
      <c r="E12">
        <f>'[1]T1-Basic Desc Stats'!E12</f>
        <v>4.02073779597856</v>
      </c>
      <c r="F12">
        <f>'[1]T1-Basic Desc Stats'!F12</f>
        <v>1.4020735466337699</v>
      </c>
      <c r="G12">
        <f>'[1]T1-Basic Desc Stats'!G12</f>
        <v>7.3979400260438197</v>
      </c>
      <c r="H12">
        <f>'[1]T1-Basic Desc Stats'!H12</f>
        <v>8.1036176218097999</v>
      </c>
      <c r="I12">
        <f>'[1]T1-Basic Desc Stats'!I12</f>
        <v>7.1516084192317794E-2</v>
      </c>
      <c r="J12">
        <f>'[1]T1-Basic Desc Stats'!J12</f>
        <v>0.466099204342657</v>
      </c>
      <c r="K12">
        <f>'[1]T1-Basic Desc Stats'!K12</f>
        <v>0.46600000000000003</v>
      </c>
    </row>
    <row r="13" spans="1:11" x14ac:dyDescent="0.25">
      <c r="A13">
        <f>'[1]T1-Basic Desc Stats'!A13</f>
        <v>12</v>
      </c>
      <c r="B13" t="str">
        <f>'[1]T1-Basic Desc Stats'!B13</f>
        <v>Extraneous Material</v>
      </c>
      <c r="C13">
        <f>'[1]T1-Basic Desc Stats'!C13</f>
        <v>143</v>
      </c>
      <c r="D13">
        <f>'[1]T1-Basic Desc Stats'!D13</f>
        <v>4.3667554142000604</v>
      </c>
      <c r="E13">
        <f>'[1]T1-Basic Desc Stats'!E13</f>
        <v>4.3518349434774404</v>
      </c>
      <c r="F13">
        <f>'[1]T1-Basic Desc Stats'!F13</f>
        <v>0.84786373615413602</v>
      </c>
      <c r="G13">
        <f>'[1]T1-Basic Desc Stats'!G13</f>
        <v>6.6362207180647603</v>
      </c>
      <c r="H13">
        <f>'[1]T1-Basic Desc Stats'!H13</f>
        <v>7.2727624255004599</v>
      </c>
      <c r="I13">
        <f>'[1]T1-Basic Desc Stats'!I13</f>
        <v>0.48236669150967698</v>
      </c>
      <c r="J13" s="12">
        <f>'[1]T1-Basic Desc Stats'!J13</f>
        <v>5.4019150431972698E-5</v>
      </c>
      <c r="K13" t="str">
        <f>'[1]T1-Basic Desc Stats'!K13</f>
        <v>&lt;0.001</v>
      </c>
    </row>
    <row r="14" spans="1:11" x14ac:dyDescent="0.25">
      <c r="A14">
        <f>'[1]T1-Basic Desc Stats'!A14</f>
        <v>13</v>
      </c>
      <c r="B14" t="str">
        <f>'[1]T1-Basic Desc Stats'!B14</f>
        <v>Listeria</v>
      </c>
      <c r="C14">
        <f>'[1]T1-Basic Desc Stats'!C14</f>
        <v>327</v>
      </c>
      <c r="D14">
        <f>'[1]T1-Basic Desc Stats'!D14</f>
        <v>3.2255872305392499</v>
      </c>
      <c r="E14">
        <f>'[1]T1-Basic Desc Stats'!E14</f>
        <v>3.0715138050950901</v>
      </c>
      <c r="F14">
        <f>'[1]T1-Basic Desc Stats'!F14</f>
        <v>1.22559378080125</v>
      </c>
      <c r="G14">
        <f>'[1]T1-Basic Desc Stats'!G14</f>
        <v>7.5440680567586904</v>
      </c>
      <c r="H14">
        <f>'[1]T1-Basic Desc Stats'!H14</f>
        <v>8.17422290078113</v>
      </c>
      <c r="I14">
        <f>'[1]T1-Basic Desc Stats'!I14</f>
        <v>-0.65880149215114103</v>
      </c>
      <c r="J14" s="12">
        <f>'[1]T1-Basic Desc Stats'!J14</f>
        <v>1.8414909431054599E-12</v>
      </c>
      <c r="K14" t="str">
        <f>'[1]T1-Basic Desc Stats'!K14</f>
        <v>&lt;0.001</v>
      </c>
    </row>
    <row r="15" spans="1:11" x14ac:dyDescent="0.25">
      <c r="A15">
        <f>'[1]T1-Basic Desc Stats'!A15</f>
        <v>14</v>
      </c>
      <c r="B15" t="str">
        <f>'[1]T1-Basic Desc Stats'!B15</f>
        <v>Other</v>
      </c>
      <c r="C15">
        <f>'[1]T1-Basic Desc Stats'!C15</f>
        <v>234</v>
      </c>
      <c r="D15">
        <f>'[1]T1-Basic Desc Stats'!D15</f>
        <v>3.8930493584333798</v>
      </c>
      <c r="E15">
        <f>'[1]T1-Basic Desc Stats'!E15</f>
        <v>3.8345750248434101</v>
      </c>
      <c r="F15">
        <f>'[1]T1-Basic Desc Stats'!F15</f>
        <v>1.09977632086641</v>
      </c>
      <c r="G15">
        <f>'[1]T1-Basic Desc Stats'!G15</f>
        <v>8.1565001586972006</v>
      </c>
      <c r="H15">
        <f>'[1]T1-Basic Desc Stats'!H15</f>
        <v>8.2292491596302995</v>
      </c>
      <c r="I15">
        <f>'[1]T1-Basic Desc Stats'!I15</f>
        <v>8.6606357429922197E-3</v>
      </c>
      <c r="J15">
        <f>'[1]T1-Basic Desc Stats'!J15</f>
        <v>0.933276746913134</v>
      </c>
      <c r="K15">
        <f>'[1]T1-Basic Desc Stats'!K15</f>
        <v>0.93300000000000005</v>
      </c>
    </row>
    <row r="16" spans="1:11" x14ac:dyDescent="0.25">
      <c r="A16">
        <f>'[1]T1-Basic Desc Stats'!A16</f>
        <v>15</v>
      </c>
      <c r="B16" t="str">
        <f>'[1]T1-Basic Desc Stats'!B16</f>
        <v>Processing Defect</v>
      </c>
      <c r="C16">
        <f>'[1]T1-Basic Desc Stats'!C16</f>
        <v>76</v>
      </c>
      <c r="D16">
        <f>'[1]T1-Basic Desc Stats'!D16</f>
        <v>4.0348281528246499</v>
      </c>
      <c r="E16">
        <f>'[1]T1-Basic Desc Stats'!E16</f>
        <v>4.0939320658516998</v>
      </c>
      <c r="F16">
        <f>'[1]T1-Basic Desc Stats'!F16</f>
        <v>1.0695112482892699</v>
      </c>
      <c r="G16">
        <f>'[1]T1-Basic Desc Stats'!G16</f>
        <v>7.3364597538621004</v>
      </c>
      <c r="H16">
        <f>'[1]T1-Basic Desc Stats'!H16</f>
        <v>7.6236235529726404</v>
      </c>
      <c r="I16">
        <f>'[1]T1-Basic Desc Stats'!I16</f>
        <v>0.15043943013426</v>
      </c>
      <c r="J16">
        <f>'[1]T1-Basic Desc Stats'!J16</f>
        <v>0.31761058531837599</v>
      </c>
      <c r="K16">
        <f>'[1]T1-Basic Desc Stats'!K16</f>
        <v>0.318</v>
      </c>
    </row>
    <row r="17" spans="1:11" x14ac:dyDescent="0.25">
      <c r="A17">
        <f>'[1]T1-Basic Desc Stats'!A17</f>
        <v>16</v>
      </c>
      <c r="B17" t="str">
        <f>'[1]T1-Basic Desc Stats'!B17</f>
        <v>Salmonella</v>
      </c>
      <c r="C17">
        <f>'[1]T1-Basic Desc Stats'!C17</f>
        <v>65</v>
      </c>
      <c r="D17">
        <f>'[1]T1-Basic Desc Stats'!D17</f>
        <v>4.1025366985192102</v>
      </c>
      <c r="E17">
        <f>'[1]T1-Basic Desc Stats'!E17</f>
        <v>4.1335708406140403</v>
      </c>
      <c r="F17">
        <f>'[1]T1-Basic Desc Stats'!F17</f>
        <v>1.59554064297508</v>
      </c>
      <c r="G17">
        <f>'[1]T1-Basic Desc Stats'!G17</f>
        <v>7.9237619660050296</v>
      </c>
      <c r="H17">
        <f>'[1]T1-Basic Desc Stats'!H17</f>
        <v>8.1516139795518203</v>
      </c>
      <c r="I17">
        <f>'[1]T1-Basic Desc Stats'!I17</f>
        <v>0.21814797582881701</v>
      </c>
      <c r="J17">
        <f>'[1]T1-Basic Desc Stats'!J17</f>
        <v>0.18577232121659201</v>
      </c>
      <c r="K17">
        <f>'[1]T1-Basic Desc Stats'!K17</f>
        <v>0.186</v>
      </c>
    </row>
    <row r="18" spans="1:11" x14ac:dyDescent="0.25">
      <c r="A18">
        <f>'[1]T1-Basic Desc Stats'!A18</f>
        <v>17</v>
      </c>
      <c r="B18" t="str">
        <f>'[1]T1-Basic Desc Stats'!B18</f>
        <v>Undeclared Substance</v>
      </c>
      <c r="C18">
        <f>'[1]T1-Basic Desc Stats'!C18</f>
        <v>68</v>
      </c>
      <c r="D18">
        <f>'[1]T1-Basic Desc Stats'!D18</f>
        <v>4.11607719980399</v>
      </c>
      <c r="E18">
        <f>'[1]T1-Basic Desc Stats'!E18</f>
        <v>4.2506883036457204</v>
      </c>
      <c r="F18">
        <f>'[1]T1-Basic Desc Stats'!F18</f>
        <v>1.23212491073176</v>
      </c>
      <c r="G18">
        <f>'[1]T1-Basic Desc Stats'!G18</f>
        <v>6.4281349560789396</v>
      </c>
      <c r="H18">
        <f>'[1]T1-Basic Desc Stats'!H18</f>
        <v>7.0345235395799204</v>
      </c>
      <c r="I18">
        <f>'[1]T1-Basic Desc Stats'!I18</f>
        <v>0.231688477113594</v>
      </c>
      <c r="J18">
        <f>'[1]T1-Basic Desc Stats'!J18</f>
        <v>0.15432791605565199</v>
      </c>
      <c r="K18">
        <f>'[1]T1-Basic Desc Stats'!K18</f>
        <v>0.154</v>
      </c>
    </row>
    <row r="19" spans="1:11" x14ac:dyDescent="0.25">
      <c r="A19">
        <f>'[1]T1-Basic Desc Stats'!A19</f>
        <v>18</v>
      </c>
      <c r="B19" t="str">
        <f>'[1]T1-Basic Desc Stats'!B19</f>
        <v>Autumn</v>
      </c>
      <c r="C19">
        <f>'[1]T1-Basic Desc Stats'!C19</f>
        <v>382</v>
      </c>
      <c r="D19">
        <f>'[1]T1-Basic Desc Stats'!D19</f>
        <v>3.8294741596160402</v>
      </c>
      <c r="E19">
        <f>'[1]T1-Basic Desc Stats'!E19</f>
        <v>3.78674933498404</v>
      </c>
      <c r="F19">
        <f>'[1]T1-Basic Desc Stats'!F19</f>
        <v>1.2599699103851201</v>
      </c>
      <c r="G19">
        <f>'[1]T1-Basic Desc Stats'!G19</f>
        <v>7.9237619660050296</v>
      </c>
      <c r="H19">
        <f>'[1]T1-Basic Desc Stats'!H19</f>
        <v>8.3580162219715994</v>
      </c>
      <c r="I19">
        <f>'[1]T1-Basic Desc Stats'!I19</f>
        <v>3.82947415961605</v>
      </c>
      <c r="J19">
        <f>'[1]T1-Basic Desc Stats'!J19</f>
        <v>0.41762695887111301</v>
      </c>
      <c r="K19">
        <f>'[1]T1-Basic Desc Stats'!K19</f>
        <v>0.41799999999999998</v>
      </c>
    </row>
    <row r="20" spans="1:11" x14ac:dyDescent="0.25">
      <c r="A20">
        <f>'[1]T1-Basic Desc Stats'!A20</f>
        <v>19</v>
      </c>
      <c r="B20" t="str">
        <f>'[1]T1-Basic Desc Stats'!B20</f>
        <v>Spring</v>
      </c>
      <c r="C20">
        <f>'[1]T1-Basic Desc Stats'!C20</f>
        <v>381</v>
      </c>
      <c r="D20">
        <f>'[1]T1-Basic Desc Stats'!D20</f>
        <v>3.7829856168683</v>
      </c>
      <c r="E20">
        <f>'[1]T1-Basic Desc Stats'!E20</f>
        <v>3.8085204734028202</v>
      </c>
      <c r="F20">
        <f>'[1]T1-Basic Desc Stats'!F20</f>
        <v>1.21849487746826</v>
      </c>
      <c r="G20">
        <f>'[1]T1-Basic Desc Stats'!G20</f>
        <v>7.1760912880086503</v>
      </c>
      <c r="H20">
        <f>'[1]T1-Basic Desc Stats'!H20</f>
        <v>7.9829602779151703</v>
      </c>
      <c r="I20">
        <f>'[1]T1-Basic Desc Stats'!I20</f>
        <v>-4.6488542747736998E-2</v>
      </c>
      <c r="J20">
        <f>'[1]T1-Basic Desc Stats'!J20</f>
        <v>0.60681235351694895</v>
      </c>
      <c r="K20">
        <f>'[1]T1-Basic Desc Stats'!K20</f>
        <v>0.60699999999999998</v>
      </c>
    </row>
    <row r="21" spans="1:11" x14ac:dyDescent="0.25">
      <c r="A21">
        <f>'[1]T1-Basic Desc Stats'!A21</f>
        <v>20</v>
      </c>
      <c r="B21" t="str">
        <f>'[1]T1-Basic Desc Stats'!B21</f>
        <v>Summer</v>
      </c>
      <c r="C21">
        <f>'[1]T1-Basic Desc Stats'!C21</f>
        <v>382</v>
      </c>
      <c r="D21">
        <f>'[1]T1-Basic Desc Stats'!D21</f>
        <v>3.7797749088806198</v>
      </c>
      <c r="E21">
        <f>'[1]T1-Basic Desc Stats'!E21</f>
        <v>3.77063112777781</v>
      </c>
      <c r="F21">
        <f>'[1]T1-Basic Desc Stats'!F21</f>
        <v>1.28500818769518</v>
      </c>
      <c r="G21">
        <f>'[1]T1-Basic Desc Stats'!G21</f>
        <v>7.5563025128310199</v>
      </c>
      <c r="H21">
        <f>'[1]T1-Basic Desc Stats'!H21</f>
        <v>8.1511787983455104</v>
      </c>
      <c r="I21">
        <f>'[1]T1-Basic Desc Stats'!I21</f>
        <v>-4.9699250735420801E-2</v>
      </c>
      <c r="J21">
        <f>'[1]T1-Basic Desc Stats'!J21</f>
        <v>0.58295660105752101</v>
      </c>
      <c r="K21">
        <f>'[1]T1-Basic Desc Stats'!K21</f>
        <v>0.58299999999999996</v>
      </c>
    </row>
    <row r="22" spans="1:11" x14ac:dyDescent="0.25">
      <c r="A22">
        <f>'[1]T1-Basic Desc Stats'!A22</f>
        <v>21</v>
      </c>
      <c r="B22" t="str">
        <f>'[1]T1-Basic Desc Stats'!B22</f>
        <v>Winter</v>
      </c>
      <c r="C22">
        <f>'[1]T1-Basic Desc Stats'!C22</f>
        <v>370</v>
      </c>
      <c r="D22">
        <f>'[1]T1-Basic Desc Stats'!D22</f>
        <v>3.91419503206121</v>
      </c>
      <c r="E22">
        <f>'[1]T1-Basic Desc Stats'!E22</f>
        <v>3.8627870982353398</v>
      </c>
      <c r="F22">
        <f>'[1]T1-Basic Desc Stats'!F22</f>
        <v>1.14300991156374</v>
      </c>
      <c r="G22">
        <f>'[1]T1-Basic Desc Stats'!G22</f>
        <v>8.1565001586972006</v>
      </c>
      <c r="H22">
        <f>'[1]T1-Basic Desc Stats'!H22</f>
        <v>8.3587986771706007</v>
      </c>
      <c r="I22">
        <f>'[1]T1-Basic Desc Stats'!I22</f>
        <v>8.4720872445169904E-2</v>
      </c>
      <c r="J22">
        <f>'[1]T1-Basic Desc Stats'!J22</f>
        <v>0.35329144557763997</v>
      </c>
      <c r="K22">
        <f>'[1]T1-Basic Desc Stats'!K22</f>
        <v>0.35299999999999998</v>
      </c>
    </row>
    <row r="23" spans="1:11" x14ac:dyDescent="0.25">
      <c r="A23">
        <f>'[1]T1-Basic Desc Stats'!A23</f>
        <v>22</v>
      </c>
      <c r="B23">
        <f>'[1]T1-Basic Desc Stats'!B23</f>
        <v>1994</v>
      </c>
      <c r="C23">
        <f>'[1]T1-Basic Desc Stats'!C23</f>
        <v>50</v>
      </c>
      <c r="D23">
        <f>'[1]T1-Basic Desc Stats'!D23</f>
        <v>3.9783057327246598</v>
      </c>
      <c r="E23">
        <f>'[1]T1-Basic Desc Stats'!E23</f>
        <v>3.9585380247196298</v>
      </c>
      <c r="F23">
        <f>'[1]T1-Basic Desc Stats'!F23</f>
        <v>0.99880160911906002</v>
      </c>
      <c r="G23">
        <f>'[1]T1-Basic Desc Stats'!G23</f>
        <v>6.1374810258329298</v>
      </c>
      <c r="H23">
        <f>'[1]T1-Basic Desc Stats'!H23</f>
        <v>6.6811146401799197</v>
      </c>
      <c r="I23">
        <f>'[1]T1-Basic Desc Stats'!I23</f>
        <v>3.9783057327246598</v>
      </c>
      <c r="J23">
        <f>'[1]T1-Basic Desc Stats'!J23</f>
        <v>1.74580789284834E-4</v>
      </c>
      <c r="K23" t="str">
        <f>'[1]T1-Basic Desc Stats'!K23</f>
        <v>&lt;0.001</v>
      </c>
    </row>
    <row r="24" spans="1:11" x14ac:dyDescent="0.25">
      <c r="A24">
        <f>'[1]T1-Basic Desc Stats'!A24</f>
        <v>23</v>
      </c>
      <c r="B24">
        <f>'[1]T1-Basic Desc Stats'!B24</f>
        <v>1995</v>
      </c>
      <c r="C24">
        <f>'[1]T1-Basic Desc Stats'!C24</f>
        <v>42</v>
      </c>
      <c r="D24">
        <f>'[1]T1-Basic Desc Stats'!D24</f>
        <v>3.99754913043185</v>
      </c>
      <c r="E24">
        <f>'[1]T1-Basic Desc Stats'!E24</f>
        <v>3.9243309847086798</v>
      </c>
      <c r="F24">
        <f>'[1]T1-Basic Desc Stats'!F24</f>
        <v>1.1369358396229701</v>
      </c>
      <c r="G24">
        <f>'[1]T1-Basic Desc Stats'!G24</f>
        <v>6.4999240932444202</v>
      </c>
      <c r="H24">
        <f>'[1]T1-Basic Desc Stats'!H24</f>
        <v>6.7523256928449102</v>
      </c>
      <c r="I24">
        <f>'[1]T1-Basic Desc Stats'!I24</f>
        <v>1.9243397707198E-2</v>
      </c>
      <c r="J24">
        <f>'[1]T1-Basic Desc Stats'!J24</f>
        <v>0.94092027256869204</v>
      </c>
      <c r="K24">
        <f>'[1]T1-Basic Desc Stats'!K24</f>
        <v>0.94099999999999995</v>
      </c>
    </row>
    <row r="25" spans="1:11" x14ac:dyDescent="0.25">
      <c r="A25">
        <f>'[1]T1-Basic Desc Stats'!A25</f>
        <v>24</v>
      </c>
      <c r="B25">
        <f>'[1]T1-Basic Desc Stats'!B25</f>
        <v>1996</v>
      </c>
      <c r="C25">
        <f>'[1]T1-Basic Desc Stats'!C25</f>
        <v>24</v>
      </c>
      <c r="D25">
        <f>'[1]T1-Basic Desc Stats'!D25</f>
        <v>3.7352060448134399</v>
      </c>
      <c r="E25">
        <f>'[1]T1-Basic Desc Stats'!E25</f>
        <v>3.4714712957848501</v>
      </c>
      <c r="F25">
        <f>'[1]T1-Basic Desc Stats'!F25</f>
        <v>0.99144449080030195</v>
      </c>
      <c r="G25">
        <f>'[1]T1-Basic Desc Stats'!G25</f>
        <v>5.6020610770628103</v>
      </c>
      <c r="H25">
        <f>'[1]T1-Basic Desc Stats'!H25</f>
        <v>5.99767770962199</v>
      </c>
      <c r="I25">
        <f>'[1]T1-Basic Desc Stats'!I25</f>
        <v>-0.243099687911217</v>
      </c>
      <c r="J25">
        <f>'[1]T1-Basic Desc Stats'!J25</f>
        <v>0.42059841612964399</v>
      </c>
      <c r="K25">
        <f>'[1]T1-Basic Desc Stats'!K25</f>
        <v>0.42099999999999999</v>
      </c>
    </row>
    <row r="26" spans="1:11" x14ac:dyDescent="0.25">
      <c r="A26">
        <f>'[1]T1-Basic Desc Stats'!A26</f>
        <v>25</v>
      </c>
      <c r="B26">
        <f>'[1]T1-Basic Desc Stats'!B26</f>
        <v>1997</v>
      </c>
      <c r="C26">
        <f>'[1]T1-Basic Desc Stats'!C26</f>
        <v>27</v>
      </c>
      <c r="D26">
        <f>'[1]T1-Basic Desc Stats'!D26</f>
        <v>4.1320109763492798</v>
      </c>
      <c r="E26">
        <f>'[1]T1-Basic Desc Stats'!E26</f>
        <v>4.1461590556048202</v>
      </c>
      <c r="F26">
        <f>'[1]T1-Basic Desc Stats'!F26</f>
        <v>1.3031092660444099</v>
      </c>
      <c r="G26">
        <f>'[1]T1-Basic Desc Stats'!G26</f>
        <v>7.3979400260438197</v>
      </c>
      <c r="H26">
        <f>'[1]T1-Basic Desc Stats'!H26</f>
        <v>7.4494782294807802</v>
      </c>
      <c r="I26">
        <f>'[1]T1-Basic Desc Stats'!I26</f>
        <v>0.15370524362461599</v>
      </c>
      <c r="J26">
        <f>'[1]T1-Basic Desc Stats'!J26</f>
        <v>0.59644560545277603</v>
      </c>
      <c r="K26">
        <f>'[1]T1-Basic Desc Stats'!K26</f>
        <v>0.59599999999999997</v>
      </c>
    </row>
    <row r="27" spans="1:11" x14ac:dyDescent="0.25">
      <c r="A27">
        <f>'[1]T1-Basic Desc Stats'!A27</f>
        <v>26</v>
      </c>
      <c r="B27">
        <f>'[1]T1-Basic Desc Stats'!B27</f>
        <v>1998</v>
      </c>
      <c r="C27">
        <f>'[1]T1-Basic Desc Stats'!C27</f>
        <v>44</v>
      </c>
      <c r="D27">
        <f>'[1]T1-Basic Desc Stats'!D27</f>
        <v>4.4028009285969398</v>
      </c>
      <c r="E27">
        <f>'[1]T1-Basic Desc Stats'!E27</f>
        <v>4.2346084156758996</v>
      </c>
      <c r="F27">
        <f>'[1]T1-Basic Desc Stats'!F27</f>
        <v>1.25129595917771</v>
      </c>
      <c r="G27">
        <f>'[1]T1-Basic Desc Stats'!G27</f>
        <v>7.5440680567586904</v>
      </c>
      <c r="H27">
        <f>'[1]T1-Basic Desc Stats'!H27</f>
        <v>7.6631386919521098</v>
      </c>
      <c r="I27">
        <f>'[1]T1-Basic Desc Stats'!I27</f>
        <v>0.42449519587228202</v>
      </c>
      <c r="J27">
        <f>'[1]T1-Basic Desc Stats'!J27</f>
        <v>9.1242695128495796E-2</v>
      </c>
      <c r="K27">
        <f>'[1]T1-Basic Desc Stats'!K27</f>
        <v>9.0999999999999998E-2</v>
      </c>
    </row>
    <row r="28" spans="1:11" x14ac:dyDescent="0.25">
      <c r="A28">
        <f>'[1]T1-Basic Desc Stats'!A28</f>
        <v>27</v>
      </c>
      <c r="B28">
        <f>'[1]T1-Basic Desc Stats'!B28</f>
        <v>1999</v>
      </c>
      <c r="C28">
        <f>'[1]T1-Basic Desc Stats'!C28</f>
        <v>62</v>
      </c>
      <c r="D28">
        <f>'[1]T1-Basic Desc Stats'!D28</f>
        <v>3.6603358833996098</v>
      </c>
      <c r="E28">
        <f>'[1]T1-Basic Desc Stats'!E28</f>
        <v>3.5919864157385</v>
      </c>
      <c r="F28">
        <f>'[1]T1-Basic Desc Stats'!F28</f>
        <v>1.3237667939456299</v>
      </c>
      <c r="G28">
        <f>'[1]T1-Basic Desc Stats'!G28</f>
        <v>7.5440680567586904</v>
      </c>
      <c r="H28">
        <f>'[1]T1-Basic Desc Stats'!H28</f>
        <v>7.6012829735406804</v>
      </c>
      <c r="I28">
        <f>'[1]T1-Basic Desc Stats'!I28</f>
        <v>-0.31796984932505301</v>
      </c>
      <c r="J28">
        <f>'[1]T1-Basic Desc Stats'!J28</f>
        <v>0.16883189892820799</v>
      </c>
      <c r="K28">
        <f>'[1]T1-Basic Desc Stats'!K28</f>
        <v>0.16900000000000001</v>
      </c>
    </row>
    <row r="29" spans="1:11" x14ac:dyDescent="0.25">
      <c r="A29">
        <f>'[1]T1-Basic Desc Stats'!A29</f>
        <v>28</v>
      </c>
      <c r="B29">
        <f>'[1]T1-Basic Desc Stats'!B29</f>
        <v>2000</v>
      </c>
      <c r="C29">
        <f>'[1]T1-Basic Desc Stats'!C29</f>
        <v>85</v>
      </c>
      <c r="D29">
        <f>'[1]T1-Basic Desc Stats'!D29</f>
        <v>3.6191233611828602</v>
      </c>
      <c r="E29">
        <f>'[1]T1-Basic Desc Stats'!E29</f>
        <v>3.6335694425540899</v>
      </c>
      <c r="F29">
        <f>'[1]T1-Basic Desc Stats'!F29</f>
        <v>1.2686138155097</v>
      </c>
      <c r="G29">
        <f>'[1]T1-Basic Desc Stats'!G29</f>
        <v>7.2227164971532396</v>
      </c>
      <c r="H29">
        <f>'[1]T1-Basic Desc Stats'!H29</f>
        <v>7.3525264782111499</v>
      </c>
      <c r="I29">
        <f>'[1]T1-Basic Desc Stats'!I29</f>
        <v>-0.359182371541798</v>
      </c>
      <c r="J29">
        <f>'[1]T1-Basic Desc Stats'!J29</f>
        <v>9.8929522422740002E-2</v>
      </c>
      <c r="K29">
        <f>'[1]T1-Basic Desc Stats'!K29</f>
        <v>9.9000000000000005E-2</v>
      </c>
    </row>
    <row r="30" spans="1:11" x14ac:dyDescent="0.25">
      <c r="A30">
        <f>'[1]T1-Basic Desc Stats'!A30</f>
        <v>29</v>
      </c>
      <c r="B30">
        <f>'[1]T1-Basic Desc Stats'!B30</f>
        <v>2001</v>
      </c>
      <c r="C30">
        <f>'[1]T1-Basic Desc Stats'!C30</f>
        <v>97</v>
      </c>
      <c r="D30">
        <f>'[1]T1-Basic Desc Stats'!D30</f>
        <v>3.87231171331414</v>
      </c>
      <c r="E30">
        <f>'[1]T1-Basic Desc Stats'!E30</f>
        <v>3.7482655726687399</v>
      </c>
      <c r="F30">
        <f>'[1]T1-Basic Desc Stats'!F30</f>
        <v>1.3634731913047899</v>
      </c>
      <c r="G30">
        <f>'[1]T1-Basic Desc Stats'!G30</f>
        <v>7.1643528855306302</v>
      </c>
      <c r="H30">
        <f>'[1]T1-Basic Desc Stats'!H30</f>
        <v>7.5026214847222299</v>
      </c>
      <c r="I30">
        <f>'[1]T1-Basic Desc Stats'!I30</f>
        <v>-0.10599401941052</v>
      </c>
      <c r="J30">
        <f>'[1]T1-Basic Desc Stats'!J30</f>
        <v>0.61898153135563705</v>
      </c>
      <c r="K30">
        <f>'[1]T1-Basic Desc Stats'!K30</f>
        <v>0.61899999999999999</v>
      </c>
    </row>
    <row r="31" spans="1:11" x14ac:dyDescent="0.25">
      <c r="A31">
        <f>'[1]T1-Basic Desc Stats'!A31</f>
        <v>30</v>
      </c>
      <c r="B31">
        <f>'[1]T1-Basic Desc Stats'!B31</f>
        <v>2002</v>
      </c>
      <c r="C31">
        <f>'[1]T1-Basic Desc Stats'!C31</f>
        <v>125</v>
      </c>
      <c r="D31">
        <f>'[1]T1-Basic Desc Stats'!D31</f>
        <v>3.40435351302968</v>
      </c>
      <c r="E31">
        <f>'[1]T1-Basic Desc Stats'!E31</f>
        <v>3.2407987711173298</v>
      </c>
      <c r="F31">
        <f>'[1]T1-Basic Desc Stats'!F31</f>
        <v>1.3727101172224301</v>
      </c>
      <c r="G31">
        <f>'[1]T1-Basic Desc Stats'!G31</f>
        <v>7.4471580468527403</v>
      </c>
      <c r="H31">
        <f>'[1]T1-Basic Desc Stats'!H31</f>
        <v>7.7667225656032501</v>
      </c>
      <c r="I31">
        <f>'[1]T1-Basic Desc Stats'!I31</f>
        <v>-0.573952219694988</v>
      </c>
      <c r="J31">
        <f>'[1]T1-Basic Desc Stats'!J31</f>
        <v>5.2500437425557697E-3</v>
      </c>
      <c r="K31">
        <f>'[1]T1-Basic Desc Stats'!K31</f>
        <v>5.0000000000000001E-3</v>
      </c>
    </row>
    <row r="32" spans="1:11" x14ac:dyDescent="0.25">
      <c r="A32">
        <f>'[1]T1-Basic Desc Stats'!A32</f>
        <v>31</v>
      </c>
      <c r="B32">
        <f>'[1]T1-Basic Desc Stats'!B32</f>
        <v>2003</v>
      </c>
      <c r="C32">
        <f>'[1]T1-Basic Desc Stats'!C32</f>
        <v>68</v>
      </c>
      <c r="D32">
        <f>'[1]T1-Basic Desc Stats'!D32</f>
        <v>3.73348135809655</v>
      </c>
      <c r="E32">
        <f>'[1]T1-Basic Desc Stats'!E32</f>
        <v>3.8313957724212302</v>
      </c>
      <c r="F32">
        <f>'[1]T1-Basic Desc Stats'!F32</f>
        <v>1.0902181573498599</v>
      </c>
      <c r="G32">
        <f>'[1]T1-Basic Desc Stats'!G32</f>
        <v>5.8686450260730201</v>
      </c>
      <c r="H32">
        <f>'[1]T1-Basic Desc Stats'!H32</f>
        <v>6.5165782063077904</v>
      </c>
      <c r="I32">
        <f>'[1]T1-Basic Desc Stats'!I32</f>
        <v>-0.24482437462811299</v>
      </c>
      <c r="J32">
        <f>'[1]T1-Basic Desc Stats'!J32</f>
        <v>0.28595008640864</v>
      </c>
      <c r="K32">
        <f>'[1]T1-Basic Desc Stats'!K32</f>
        <v>0.28599999999999998</v>
      </c>
    </row>
    <row r="33" spans="1:11" x14ac:dyDescent="0.25">
      <c r="A33">
        <f>'[1]T1-Basic Desc Stats'!A33</f>
        <v>32</v>
      </c>
      <c r="B33">
        <f>'[1]T1-Basic Desc Stats'!B33</f>
        <v>2004</v>
      </c>
      <c r="C33">
        <f>'[1]T1-Basic Desc Stats'!C33</f>
        <v>49</v>
      </c>
      <c r="D33">
        <f>'[1]T1-Basic Desc Stats'!D33</f>
        <v>4.0477687965530302</v>
      </c>
      <c r="E33">
        <f>'[1]T1-Basic Desc Stats'!E33</f>
        <v>4.4872939349832004</v>
      </c>
      <c r="F33">
        <f>'[1]T1-Basic Desc Stats'!F33</f>
        <v>1.11006471330208</v>
      </c>
      <c r="G33">
        <f>'[1]T1-Basic Desc Stats'!G33</f>
        <v>5.6963572625644101</v>
      </c>
      <c r="H33">
        <f>'[1]T1-Basic Desc Stats'!H33</f>
        <v>6.4591491845503199</v>
      </c>
      <c r="I33">
        <f>'[1]T1-Basic Desc Stats'!I33</f>
        <v>6.9463063828371197E-2</v>
      </c>
      <c r="J33">
        <f>'[1]T1-Basic Desc Stats'!J33</f>
        <v>0.779670065150183</v>
      </c>
      <c r="K33">
        <f>'[1]T1-Basic Desc Stats'!K33</f>
        <v>0.78</v>
      </c>
    </row>
    <row r="34" spans="1:11" x14ac:dyDescent="0.25">
      <c r="A34">
        <f>'[1]T1-Basic Desc Stats'!A34</f>
        <v>33</v>
      </c>
      <c r="B34">
        <f>'[1]T1-Basic Desc Stats'!B34</f>
        <v>2005</v>
      </c>
      <c r="C34">
        <f>'[1]T1-Basic Desc Stats'!C34</f>
        <v>53</v>
      </c>
      <c r="D34">
        <f>'[1]T1-Basic Desc Stats'!D34</f>
        <v>3.8523022179050002</v>
      </c>
      <c r="E34">
        <f>'[1]T1-Basic Desc Stats'!E34</f>
        <v>3.75137577256656</v>
      </c>
      <c r="F34">
        <f>'[1]T1-Basic Desc Stats'!F34</f>
        <v>1.1682795660254699</v>
      </c>
      <c r="G34">
        <f>'[1]T1-Basic Desc Stats'!G34</f>
        <v>6.4471581864473597</v>
      </c>
      <c r="H34">
        <f>'[1]T1-Basic Desc Stats'!H34</f>
        <v>6.8093058643515798</v>
      </c>
      <c r="I34">
        <f>'[1]T1-Basic Desc Stats'!I34</f>
        <v>-0.12600351481965999</v>
      </c>
      <c r="J34">
        <f>'[1]T1-Basic Desc Stats'!J34</f>
        <v>0.60068989387254401</v>
      </c>
      <c r="K34">
        <f>'[1]T1-Basic Desc Stats'!K34</f>
        <v>0.60099999999999998</v>
      </c>
    </row>
    <row r="35" spans="1:11" x14ac:dyDescent="0.25">
      <c r="A35">
        <f>'[1]T1-Basic Desc Stats'!A35</f>
        <v>34</v>
      </c>
      <c r="B35">
        <f>'[1]T1-Basic Desc Stats'!B35</f>
        <v>2006</v>
      </c>
      <c r="C35">
        <f>'[1]T1-Basic Desc Stats'!C35</f>
        <v>34</v>
      </c>
      <c r="D35">
        <f>'[1]T1-Basic Desc Stats'!D35</f>
        <v>3.7039850298248802</v>
      </c>
      <c r="E35">
        <f>'[1]T1-Basic Desc Stats'!E35</f>
        <v>3.7703216337247998</v>
      </c>
      <c r="F35">
        <f>'[1]T1-Basic Desc Stats'!F35</f>
        <v>1.28757639799983</v>
      </c>
      <c r="G35">
        <f>'[1]T1-Basic Desc Stats'!G35</f>
        <v>6.6362207180647603</v>
      </c>
      <c r="H35">
        <f>'[1]T1-Basic Desc Stats'!H35</f>
        <v>6.7743660678031503</v>
      </c>
      <c r="I35">
        <f>'[1]T1-Basic Desc Stats'!I35</f>
        <v>-0.274320702899782</v>
      </c>
      <c r="J35">
        <f>'[1]T1-Basic Desc Stats'!J35</f>
        <v>0.31000304096111803</v>
      </c>
      <c r="K35">
        <f>'[1]T1-Basic Desc Stats'!K35</f>
        <v>0.31</v>
      </c>
    </row>
    <row r="36" spans="1:11" x14ac:dyDescent="0.25">
      <c r="A36">
        <f>'[1]T1-Basic Desc Stats'!A36</f>
        <v>35</v>
      </c>
      <c r="B36">
        <f>'[1]T1-Basic Desc Stats'!B36</f>
        <v>2007</v>
      </c>
      <c r="C36">
        <f>'[1]T1-Basic Desc Stats'!C36</f>
        <v>58</v>
      </c>
      <c r="D36">
        <f>'[1]T1-Basic Desc Stats'!D36</f>
        <v>4.2564195729544299</v>
      </c>
      <c r="E36">
        <f>'[1]T1-Basic Desc Stats'!E36</f>
        <v>4.1171528199669796</v>
      </c>
      <c r="F36">
        <f>'[1]T1-Basic Desc Stats'!F36</f>
        <v>1.3987938691402799</v>
      </c>
      <c r="G36">
        <f>'[1]T1-Basic Desc Stats'!G36</f>
        <v>7.9237619660050296</v>
      </c>
      <c r="H36">
        <f>'[1]T1-Basic Desc Stats'!H36</f>
        <v>8.1555298231922499</v>
      </c>
      <c r="I36">
        <f>'[1]T1-Basic Desc Stats'!I36</f>
        <v>0.27811384022977698</v>
      </c>
      <c r="J36">
        <f>'[1]T1-Basic Desc Stats'!J36</f>
        <v>0.23582525273048899</v>
      </c>
      <c r="K36">
        <f>'[1]T1-Basic Desc Stats'!K36</f>
        <v>0.23599999999999999</v>
      </c>
    </row>
    <row r="37" spans="1:11" x14ac:dyDescent="0.25">
      <c r="A37">
        <f>'[1]T1-Basic Desc Stats'!A37</f>
        <v>36</v>
      </c>
      <c r="B37">
        <f>'[1]T1-Basic Desc Stats'!B37</f>
        <v>2008</v>
      </c>
      <c r="C37">
        <f>'[1]T1-Basic Desc Stats'!C37</f>
        <v>54</v>
      </c>
      <c r="D37">
        <f>'[1]T1-Basic Desc Stats'!D37</f>
        <v>4.0030288444303901</v>
      </c>
      <c r="E37">
        <f>'[1]T1-Basic Desc Stats'!E37</f>
        <v>3.93959603096049</v>
      </c>
      <c r="F37">
        <f>'[1]T1-Basic Desc Stats'!F37</f>
        <v>1.4290982044238201</v>
      </c>
      <c r="G37">
        <f>'[1]T1-Basic Desc Stats'!G37</f>
        <v>8.1565001586972006</v>
      </c>
      <c r="H37">
        <f>'[1]T1-Basic Desc Stats'!H37</f>
        <v>8.1895651591809298</v>
      </c>
      <c r="I37">
        <f>'[1]T1-Basic Desc Stats'!I37</f>
        <v>2.47231117057309E-2</v>
      </c>
      <c r="J37">
        <f>'[1]T1-Basic Desc Stats'!J37</f>
        <v>0.918199066358107</v>
      </c>
      <c r="K37">
        <f>'[1]T1-Basic Desc Stats'!K37</f>
        <v>0.91800000000000004</v>
      </c>
    </row>
    <row r="38" spans="1:11" x14ac:dyDescent="0.25">
      <c r="A38">
        <f>'[1]T1-Basic Desc Stats'!A38</f>
        <v>37</v>
      </c>
      <c r="B38">
        <f>'[1]T1-Basic Desc Stats'!B38</f>
        <v>2009</v>
      </c>
      <c r="C38">
        <f>'[1]T1-Basic Desc Stats'!C38</f>
        <v>69</v>
      </c>
      <c r="D38">
        <f>'[1]T1-Basic Desc Stats'!D38</f>
        <v>4.0051139619576901</v>
      </c>
      <c r="E38">
        <f>'[1]T1-Basic Desc Stats'!E38</f>
        <v>3.9819399369294302</v>
      </c>
      <c r="F38">
        <f>'[1]T1-Basic Desc Stats'!F38</f>
        <v>1.18686961248697</v>
      </c>
      <c r="G38">
        <f>'[1]T1-Basic Desc Stats'!G38</f>
        <v>6.4281349560789396</v>
      </c>
      <c r="H38">
        <f>'[1]T1-Basic Desc Stats'!H38</f>
        <v>6.9772050682467803</v>
      </c>
      <c r="I38">
        <f>'[1]T1-Basic Desc Stats'!I38</f>
        <v>2.6808229233031701E-2</v>
      </c>
      <c r="J38">
        <f>'[1]T1-Basic Desc Stats'!J38</f>
        <v>0.90574942118228197</v>
      </c>
      <c r="K38">
        <f>'[1]T1-Basic Desc Stats'!K38</f>
        <v>0.90600000000000003</v>
      </c>
    </row>
    <row r="39" spans="1:11" x14ac:dyDescent="0.25">
      <c r="A39">
        <f>'[1]T1-Basic Desc Stats'!A39</f>
        <v>38</v>
      </c>
      <c r="B39">
        <f>'[1]T1-Basic Desc Stats'!B39</f>
        <v>2010</v>
      </c>
      <c r="C39">
        <f>'[1]T1-Basic Desc Stats'!C39</f>
        <v>70</v>
      </c>
      <c r="D39">
        <f>'[1]T1-Basic Desc Stats'!D39</f>
        <v>4.0905320393873401</v>
      </c>
      <c r="E39">
        <f>'[1]T1-Basic Desc Stats'!E39</f>
        <v>4.1194924642644004</v>
      </c>
      <c r="F39">
        <f>'[1]T1-Basic Desc Stats'!F39</f>
        <v>1.27041371408226</v>
      </c>
      <c r="G39">
        <f>'[1]T1-Basic Desc Stats'!G39</f>
        <v>7.1760912880086503</v>
      </c>
      <c r="H39">
        <f>'[1]T1-Basic Desc Stats'!H39</f>
        <v>7.5330332313196999</v>
      </c>
      <c r="I39">
        <f>'[1]T1-Basic Desc Stats'!I39</f>
        <v>0.112226306662689</v>
      </c>
      <c r="J39">
        <f>'[1]T1-Basic Desc Stats'!J39</f>
        <v>0.62014797364069496</v>
      </c>
      <c r="K39">
        <f>'[1]T1-Basic Desc Stats'!K39</f>
        <v>0.62</v>
      </c>
    </row>
    <row r="40" spans="1:11" x14ac:dyDescent="0.25">
      <c r="A40">
        <f>'[1]T1-Basic Desc Stats'!A40</f>
        <v>39</v>
      </c>
      <c r="B40">
        <f>'[1]T1-Basic Desc Stats'!B40</f>
        <v>2011</v>
      </c>
      <c r="C40">
        <f>'[1]T1-Basic Desc Stats'!C40</f>
        <v>103</v>
      </c>
      <c r="D40">
        <f>'[1]T1-Basic Desc Stats'!D40</f>
        <v>3.6830249028757098</v>
      </c>
      <c r="E40">
        <f>'[1]T1-Basic Desc Stats'!E40</f>
        <v>3.6703386411274401</v>
      </c>
      <c r="F40">
        <f>'[1]T1-Basic Desc Stats'!F40</f>
        <v>1.1376437190367501</v>
      </c>
      <c r="G40">
        <f>'[1]T1-Basic Desc Stats'!G40</f>
        <v>7.5563025128310199</v>
      </c>
      <c r="H40">
        <f>'[1]T1-Basic Desc Stats'!H40</f>
        <v>7.5988158745084498</v>
      </c>
      <c r="I40">
        <f>'[1]T1-Basic Desc Stats'!I40</f>
        <v>-0.29528082984894299</v>
      </c>
      <c r="J40">
        <f>'[1]T1-Basic Desc Stats'!J40</f>
        <v>0.16299698142949401</v>
      </c>
      <c r="K40">
        <f>'[1]T1-Basic Desc Stats'!K40</f>
        <v>0.16300000000000001</v>
      </c>
    </row>
    <row r="41" spans="1:11" x14ac:dyDescent="0.25">
      <c r="A41">
        <f>'[1]T1-Basic Desc Stats'!A41</f>
        <v>40</v>
      </c>
      <c r="B41">
        <f>'[1]T1-Basic Desc Stats'!B41</f>
        <v>2012</v>
      </c>
      <c r="C41">
        <f>'[1]T1-Basic Desc Stats'!C41</f>
        <v>82</v>
      </c>
      <c r="D41">
        <f>'[1]T1-Basic Desc Stats'!D41</f>
        <v>3.6828394745995801</v>
      </c>
      <c r="E41">
        <f>'[1]T1-Basic Desc Stats'!E41</f>
        <v>3.61288976928748</v>
      </c>
      <c r="F41">
        <f>'[1]T1-Basic Desc Stats'!F41</f>
        <v>0.93771349776297097</v>
      </c>
      <c r="G41">
        <f>'[1]T1-Basic Desc Stats'!G41</f>
        <v>6.2476298662373901</v>
      </c>
      <c r="H41">
        <f>'[1]T1-Basic Desc Stats'!H41</f>
        <v>6.5409691810236898</v>
      </c>
      <c r="I41">
        <f>'[1]T1-Basic Desc Stats'!I41</f>
        <v>-0.29546625812506799</v>
      </c>
      <c r="J41">
        <f>'[1]T1-Basic Desc Stats'!J41</f>
        <v>0.176596147989031</v>
      </c>
      <c r="K41">
        <f>'[1]T1-Basic Desc Stats'!K41</f>
        <v>0.17699999999999999</v>
      </c>
    </row>
    <row r="42" spans="1:11" x14ac:dyDescent="0.25">
      <c r="A42">
        <f>'[1]T1-Basic Desc Stats'!A42</f>
        <v>41</v>
      </c>
      <c r="B42">
        <f>'[1]T1-Basic Desc Stats'!B42</f>
        <v>2013</v>
      </c>
      <c r="C42">
        <f>'[1]T1-Basic Desc Stats'!C42</f>
        <v>75</v>
      </c>
      <c r="D42">
        <f>'[1]T1-Basic Desc Stats'!D42</f>
        <v>3.84517864336321</v>
      </c>
      <c r="E42">
        <f>'[1]T1-Basic Desc Stats'!E42</f>
        <v>3.7900035203904898</v>
      </c>
      <c r="F42">
        <f>'[1]T1-Basic Desc Stats'!F42</f>
        <v>1.00426656120519</v>
      </c>
      <c r="G42">
        <f>'[1]T1-Basic Desc Stats'!G42</f>
        <v>7.0211893404313201</v>
      </c>
      <c r="H42">
        <f>'[1]T1-Basic Desc Stats'!H42</f>
        <v>7.1171646649288203</v>
      </c>
      <c r="I42">
        <f>'[1]T1-Basic Desc Stats'!I42</f>
        <v>-0.13312708936144399</v>
      </c>
      <c r="J42">
        <f>'[1]T1-Basic Desc Stats'!J42</f>
        <v>0.55073541466297005</v>
      </c>
      <c r="K42">
        <f>'[1]T1-Basic Desc Stats'!K42</f>
        <v>0.55100000000000005</v>
      </c>
    </row>
    <row r="43" spans="1:11" x14ac:dyDescent="0.25">
      <c r="A43">
        <f>'[1]T1-Basic Desc Stats'!A43</f>
        <v>42</v>
      </c>
      <c r="B43">
        <f>'[1]T1-Basic Desc Stats'!B43</f>
        <v>2014</v>
      </c>
      <c r="C43">
        <f>'[1]T1-Basic Desc Stats'!C43</f>
        <v>94</v>
      </c>
      <c r="D43">
        <f>'[1]T1-Basic Desc Stats'!D43</f>
        <v>3.9407142607492802</v>
      </c>
      <c r="E43">
        <f>'[1]T1-Basic Desc Stats'!E43</f>
        <v>4.0174388587163001</v>
      </c>
      <c r="F43">
        <f>'[1]T1-Basic Desc Stats'!F43</f>
        <v>1.22382668585857</v>
      </c>
      <c r="G43">
        <f>'[1]T1-Basic Desc Stats'!G43</f>
        <v>6.9416456257896799</v>
      </c>
      <c r="H43">
        <f>'[1]T1-Basic Desc Stats'!H43</f>
        <v>7.2712629825311401</v>
      </c>
      <c r="I43">
        <f>'[1]T1-Basic Desc Stats'!I43</f>
        <v>-3.7591471975376302E-2</v>
      </c>
      <c r="J43">
        <f>'[1]T1-Basic Desc Stats'!J43</f>
        <v>0.86026168928025004</v>
      </c>
      <c r="K43">
        <f>'[1]T1-Basic Desc Stats'!K43</f>
        <v>0.86</v>
      </c>
    </row>
    <row r="44" spans="1:11" x14ac:dyDescent="0.25">
      <c r="A44">
        <f>'[1]T1-Basic Desc Stats'!A44</f>
        <v>43</v>
      </c>
      <c r="B44">
        <f>'[1]T1-Basic Desc Stats'!B44</f>
        <v>2015</v>
      </c>
      <c r="C44">
        <f>'[1]T1-Basic Desc Stats'!C44</f>
        <v>150</v>
      </c>
      <c r="D44">
        <f>'[1]T1-Basic Desc Stats'!D44</f>
        <v>3.6483956478704198</v>
      </c>
      <c r="E44">
        <f>'[1]T1-Basic Desc Stats'!E44</f>
        <v>3.6010599139172501</v>
      </c>
      <c r="F44">
        <f>'[1]T1-Basic Desc Stats'!F44</f>
        <v>1.1779917696495401</v>
      </c>
      <c r="G44">
        <f>'[1]T1-Basic Desc Stats'!G44</f>
        <v>6.9577693391620903</v>
      </c>
      <c r="H44">
        <f>'[1]T1-Basic Desc Stats'!H44</f>
        <v>7.32302709592215</v>
      </c>
      <c r="I44">
        <f>'[1]T1-Basic Desc Stats'!I44</f>
        <v>-0.32991008485423901</v>
      </c>
      <c r="J44">
        <f>'[1]T1-Basic Desc Stats'!J44</f>
        <v>9.7756424501091496E-2</v>
      </c>
      <c r="K44">
        <f>'[1]T1-Basic Desc Stats'!K44</f>
        <v>9.8000000000000004E-2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8"/>
  <sheetViews>
    <sheetView tabSelected="1" workbookViewId="0">
      <selection activeCell="K18" sqref="A18:K18"/>
    </sheetView>
  </sheetViews>
  <sheetFormatPr defaultRowHeight="15" x14ac:dyDescent="0.25"/>
  <cols>
    <col min="2" max="2" width="15.42578125" customWidth="1"/>
  </cols>
  <sheetData>
    <row r="1" spans="1:11" x14ac:dyDescent="0.25">
      <c r="A1">
        <f>'[2]T1-Basic Desc Stats-recovered'!A1</f>
        <v>0</v>
      </c>
      <c r="B1" t="str">
        <f>'[2]T1-Basic Desc Stats-recovered'!B1</f>
        <v>Covariate</v>
      </c>
      <c r="C1" t="str">
        <f>'[2]T1-Basic Desc Stats-recovered'!C1</f>
        <v>n</v>
      </c>
      <c r="D1" t="str">
        <f>'[2]T1-Basic Desc Stats-recovered'!D1</f>
        <v>mean</v>
      </c>
      <c r="E1" t="str">
        <f>'[2]T1-Basic Desc Stats-recovered'!E1</f>
        <v>med</v>
      </c>
      <c r="F1" t="str">
        <f>'[2]T1-Basic Desc Stats-recovered'!F1</f>
        <v>sd</v>
      </c>
      <c r="G1" t="str">
        <f>'[2]T1-Basic Desc Stats-recovered'!G1</f>
        <v>max</v>
      </c>
      <c r="H1" t="str">
        <f>'[2]T1-Basic Desc Stats-recovered'!H1</f>
        <v>sum</v>
      </c>
      <c r="I1" t="str">
        <f>'[2]T1-Basic Desc Stats-recovered'!I1</f>
        <v>coef</v>
      </c>
      <c r="J1" t="str">
        <f>'[2]T1-Basic Desc Stats-recovered'!J1</f>
        <v>pval</v>
      </c>
      <c r="K1" t="str">
        <f>'[2]T1-Basic Desc Stats-recovered'!K1</f>
        <v>pval_txt</v>
      </c>
    </row>
    <row r="2" spans="1:11" x14ac:dyDescent="0.25">
      <c r="A2">
        <f>'[2]T1-Basic Desc Stats-recovered'!A2</f>
        <v>1</v>
      </c>
      <c r="B2" t="str">
        <f>'[2]T1-Basic Desc Stats-recovered'!B2</f>
        <v>Full</v>
      </c>
      <c r="C2">
        <f>'[2]T1-Basic Desc Stats-recovered'!C2</f>
        <v>944</v>
      </c>
      <c r="D2">
        <f>'[2]T1-Basic Desc Stats-recovered'!D2</f>
        <v>3.0230245452130098</v>
      </c>
      <c r="E2">
        <f>'[2]T1-Basic Desc Stats-recovered'!E2</f>
        <v>3.2250376778868901</v>
      </c>
      <c r="F2">
        <f>'[2]T1-Basic Desc Stats-recovered'!F2</f>
        <v>1.5623634331935701</v>
      </c>
      <c r="G2">
        <f>'[2]T1-Basic Desc Stats-recovered'!G2</f>
        <v>7.7139236219374103</v>
      </c>
      <c r="H2">
        <f>'[2]T1-Basic Desc Stats-recovered'!H2</f>
        <v>8.2089088715788705</v>
      </c>
      <c r="I2" t="str">
        <f>'[2]T1-Basic Desc Stats-recovered'!I2</f>
        <v>NA</v>
      </c>
      <c r="J2" t="str">
        <f>'[2]T1-Basic Desc Stats-recovered'!J2</f>
        <v>NA</v>
      </c>
      <c r="K2" t="str">
        <f>'[2]T1-Basic Desc Stats-recovered'!K2</f>
        <v>NA</v>
      </c>
    </row>
    <row r="3" spans="1:11" x14ac:dyDescent="0.25">
      <c r="A3">
        <f>'[2]T1-Basic Desc Stats-recovered'!A3</f>
        <v>2</v>
      </c>
      <c r="B3" t="str">
        <f>'[2]T1-Basic Desc Stats-recovered'!B3</f>
        <v>Class I</v>
      </c>
      <c r="C3">
        <f>'[2]T1-Basic Desc Stats-recovered'!C3</f>
        <v>635</v>
      </c>
      <c r="D3">
        <f>'[2]T1-Basic Desc Stats-recovered'!D3</f>
        <v>2.96876819331368</v>
      </c>
      <c r="E3">
        <f>'[2]T1-Basic Desc Stats-recovered'!E3</f>
        <v>3.10585067438514</v>
      </c>
      <c r="F3">
        <f>'[2]T1-Basic Desc Stats-recovered'!F3</f>
        <v>1.58330808146255</v>
      </c>
      <c r="G3">
        <f>'[2]T1-Basic Desc Stats-recovered'!G3</f>
        <v>7.2359839898673499</v>
      </c>
      <c r="H3">
        <f>'[2]T1-Basic Desc Stats-recovered'!H3</f>
        <v>7.9949906007253997</v>
      </c>
      <c r="I3">
        <f>'[2]T1-Basic Desc Stats-recovered'!I3</f>
        <v>2.96876819331368</v>
      </c>
      <c r="J3">
        <f>'[2]T1-Basic Desc Stats-recovered'!J3</f>
        <v>6.1428973115201901E-2</v>
      </c>
      <c r="K3">
        <f>'[2]T1-Basic Desc Stats-recovered'!K3</f>
        <v>6.0999999999999999E-2</v>
      </c>
    </row>
    <row r="4" spans="1:11" x14ac:dyDescent="0.25">
      <c r="A4">
        <f>'[2]T1-Basic Desc Stats-recovered'!A4</f>
        <v>3</v>
      </c>
      <c r="B4" t="str">
        <f>'[2]T1-Basic Desc Stats-recovered'!B4</f>
        <v>Class II</v>
      </c>
      <c r="C4">
        <f>'[2]T1-Basic Desc Stats-recovered'!C4</f>
        <v>242</v>
      </c>
      <c r="D4">
        <f>'[2]T1-Basic Desc Stats-recovered'!D4</f>
        <v>3.2419171960923898</v>
      </c>
      <c r="E4">
        <f>'[2]T1-Basic Desc Stats-recovered'!E4</f>
        <v>3.5132598909914901</v>
      </c>
      <c r="F4">
        <f>'[2]T1-Basic Desc Stats-recovered'!F4</f>
        <v>1.46816572540975</v>
      </c>
      <c r="G4">
        <f>'[2]T1-Basic Desc Stats-recovered'!G4</f>
        <v>7.7139236219374103</v>
      </c>
      <c r="H4">
        <f>'[2]T1-Basic Desc Stats-recovered'!H4</f>
        <v>7.7804965746593897</v>
      </c>
      <c r="I4">
        <f>'[2]T1-Basic Desc Stats-recovered'!I4</f>
        <v>0.27314900277870702</v>
      </c>
      <c r="J4">
        <f>'[2]T1-Basic Desc Stats-recovered'!J4</f>
        <v>1.97034452458081E-2</v>
      </c>
      <c r="K4">
        <f>'[2]T1-Basic Desc Stats-recovered'!K4</f>
        <v>0.02</v>
      </c>
    </row>
    <row r="5" spans="1:11" x14ac:dyDescent="0.25">
      <c r="A5">
        <f>'[2]T1-Basic Desc Stats-recovered'!A5</f>
        <v>4</v>
      </c>
      <c r="B5" t="str">
        <f>'[2]T1-Basic Desc Stats-recovered'!B5</f>
        <v>Class III</v>
      </c>
      <c r="C5">
        <f>'[2]T1-Basic Desc Stats-recovered'!C5</f>
        <v>62</v>
      </c>
      <c r="D5">
        <f>'[2]T1-Basic Desc Stats-recovered'!D5</f>
        <v>2.9681194592344702</v>
      </c>
      <c r="E5">
        <f>'[2]T1-Basic Desc Stats-recovered'!E5</f>
        <v>3.1132092086263898</v>
      </c>
      <c r="F5">
        <f>'[2]T1-Basic Desc Stats-recovered'!F5</f>
        <v>1.4803011016323699</v>
      </c>
      <c r="G5">
        <f>'[2]T1-Basic Desc Stats-recovered'!G5</f>
        <v>6.0126925763402603</v>
      </c>
      <c r="H5">
        <f>'[2]T1-Basic Desc Stats-recovered'!H5</f>
        <v>6.4143030151879703</v>
      </c>
      <c r="I5">
        <f>'[2]T1-Basic Desc Stats-recovered'!I5</f>
        <v>-6.4873407921391699E-4</v>
      </c>
      <c r="J5">
        <f>'[2]T1-Basic Desc Stats-recovered'!J5</f>
        <v>0.99748737208403804</v>
      </c>
      <c r="K5">
        <f>'[2]T1-Basic Desc Stats-recovered'!K5</f>
        <v>0.997</v>
      </c>
    </row>
    <row r="6" spans="1:11" x14ac:dyDescent="0.25">
      <c r="A6">
        <f>'[2]T1-Basic Desc Stats-recovered'!A6</f>
        <v>5</v>
      </c>
      <c r="B6" t="str">
        <f>'[2]T1-Basic Desc Stats-recovered'!B6</f>
        <v>None Assigned</v>
      </c>
      <c r="C6">
        <f>'[2]T1-Basic Desc Stats-recovered'!C6</f>
        <v>5</v>
      </c>
      <c r="D6">
        <f>'[2]T1-Basic Desc Stats-recovered'!D6</f>
        <v>0</v>
      </c>
      <c r="E6">
        <f>'[2]T1-Basic Desc Stats-recovered'!E6</f>
        <v>0</v>
      </c>
      <c r="F6">
        <f>'[2]T1-Basic Desc Stats-recovered'!F6</f>
        <v>0</v>
      </c>
      <c r="G6">
        <f>'[2]T1-Basic Desc Stats-recovered'!G6</f>
        <v>0</v>
      </c>
      <c r="H6" t="e">
        <f>'[2]T1-Basic Desc Stats-recovered'!H6</f>
        <v>#NAME?</v>
      </c>
      <c r="I6" t="str">
        <f>'[2]T1-Basic Desc Stats-recovered'!I6</f>
        <v>NA</v>
      </c>
      <c r="J6" t="str">
        <f>'[2]T1-Basic Desc Stats-recovered'!J6</f>
        <v>NA</v>
      </c>
      <c r="K6" t="str">
        <f>'[2]T1-Basic Desc Stats-recovered'!K6</f>
        <v>NA</v>
      </c>
    </row>
    <row r="7" spans="1:11" x14ac:dyDescent="0.25">
      <c r="A7">
        <f>'[2]T1-Basic Desc Stats-recovered'!A7</f>
        <v>6</v>
      </c>
      <c r="B7" t="str">
        <f>'[2]T1-Basic Desc Stats-recovered'!B7</f>
        <v>beef</v>
      </c>
      <c r="C7">
        <f>'[2]T1-Basic Desc Stats-recovered'!C7</f>
        <v>282</v>
      </c>
      <c r="D7">
        <f>'[2]T1-Basic Desc Stats-recovered'!D7</f>
        <v>3.07123891459573</v>
      </c>
      <c r="E7">
        <f>'[2]T1-Basic Desc Stats-recovered'!E7</f>
        <v>3.2657962287164102</v>
      </c>
      <c r="F7">
        <f>'[2]T1-Basic Desc Stats-recovered'!F7</f>
        <v>1.66784128341952</v>
      </c>
      <c r="G7">
        <f>'[2]T1-Basic Desc Stats-recovered'!G7</f>
        <v>7.7139236219374103</v>
      </c>
      <c r="H7">
        <f>'[2]T1-Basic Desc Stats-recovered'!H7</f>
        <v>7.8899072134610702</v>
      </c>
      <c r="I7">
        <f>'[2]T1-Basic Desc Stats-recovered'!I7</f>
        <v>3.07123891459573</v>
      </c>
      <c r="J7">
        <f>'[2]T1-Basic Desc Stats-recovered'!J7</f>
        <v>0.32050413227598001</v>
      </c>
      <c r="K7">
        <f>'[2]T1-Basic Desc Stats-recovered'!K7</f>
        <v>0.32100000000000001</v>
      </c>
    </row>
    <row r="8" spans="1:11" x14ac:dyDescent="0.25">
      <c r="A8">
        <f>'[2]T1-Basic Desc Stats-recovered'!A8</f>
        <v>7</v>
      </c>
      <c r="B8" t="str">
        <f>'[2]T1-Basic Desc Stats-recovered'!B8</f>
        <v>mixed</v>
      </c>
      <c r="C8">
        <f>'[2]T1-Basic Desc Stats-recovered'!C8</f>
        <v>306</v>
      </c>
      <c r="D8">
        <f>'[2]T1-Basic Desc Stats-recovered'!D8</f>
        <v>3.03121548403454</v>
      </c>
      <c r="E8">
        <f>'[2]T1-Basic Desc Stats-recovered'!E8</f>
        <v>3.1427222789129998</v>
      </c>
      <c r="F8">
        <f>'[2]T1-Basic Desc Stats-recovered'!F8</f>
        <v>1.60995785322039</v>
      </c>
      <c r="G8">
        <f>'[2]T1-Basic Desc Stats-recovered'!G8</f>
        <v>7.2359839898673499</v>
      </c>
      <c r="H8">
        <f>'[2]T1-Basic Desc Stats-recovered'!H8</f>
        <v>7.8763140504176601</v>
      </c>
      <c r="I8">
        <f>'[2]T1-Basic Desc Stats-recovered'!I8</f>
        <v>-4.0023430561189198E-2</v>
      </c>
      <c r="J8">
        <f>'[2]T1-Basic Desc Stats-recovered'!J8</f>
        <v>0.756312685823881</v>
      </c>
      <c r="K8">
        <f>'[2]T1-Basic Desc Stats-recovered'!K8</f>
        <v>0.75600000000000001</v>
      </c>
    </row>
    <row r="9" spans="1:11" x14ac:dyDescent="0.25">
      <c r="A9">
        <f>'[2]T1-Basic Desc Stats-recovered'!A9</f>
        <v>8</v>
      </c>
      <c r="B9" t="str">
        <f>'[2]T1-Basic Desc Stats-recovered'!B9</f>
        <v>pork</v>
      </c>
      <c r="C9">
        <f>'[2]T1-Basic Desc Stats-recovered'!C9</f>
        <v>133</v>
      </c>
      <c r="D9">
        <f>'[2]T1-Basic Desc Stats-recovered'!D9</f>
        <v>2.79427592019732</v>
      </c>
      <c r="E9">
        <f>'[2]T1-Basic Desc Stats-recovered'!E9</f>
        <v>2.9390197764486699</v>
      </c>
      <c r="F9">
        <f>'[2]T1-Basic Desc Stats-recovered'!F9</f>
        <v>1.31517420459826</v>
      </c>
      <c r="G9">
        <f>'[2]T1-Basic Desc Stats-recovered'!G9</f>
        <v>6.0126925763402603</v>
      </c>
      <c r="H9">
        <f>'[2]T1-Basic Desc Stats-recovered'!H9</f>
        <v>6.3306225498047999</v>
      </c>
      <c r="I9">
        <f>'[2]T1-Basic Desc Stats-recovered'!I9</f>
        <v>-0.27696299439840999</v>
      </c>
      <c r="J9">
        <f>'[2]T1-Basic Desc Stats-recovered'!J9</f>
        <v>9.2183709333272301E-2</v>
      </c>
      <c r="K9">
        <f>'[2]T1-Basic Desc Stats-recovered'!K9</f>
        <v>9.1999999999999998E-2</v>
      </c>
    </row>
    <row r="10" spans="1:11" x14ac:dyDescent="0.25">
      <c r="A10">
        <f>'[2]T1-Basic Desc Stats-recovered'!A10</f>
        <v>9</v>
      </c>
      <c r="B10" t="str">
        <f>'[2]T1-Basic Desc Stats-recovered'!B10</f>
        <v>poultry</v>
      </c>
      <c r="C10">
        <f>'[2]T1-Basic Desc Stats-recovered'!C10</f>
        <v>223</v>
      </c>
      <c r="D10">
        <f>'[2]T1-Basic Desc Stats-recovered'!D10</f>
        <v>3.08724287562455</v>
      </c>
      <c r="E10">
        <f>'[2]T1-Basic Desc Stats-recovered'!E10</f>
        <v>3.42845877351558</v>
      </c>
      <c r="F10">
        <f>'[2]T1-Basic Desc Stats-recovered'!F10</f>
        <v>1.48985327167404</v>
      </c>
      <c r="G10">
        <f>'[2]T1-Basic Desc Stats-recovered'!G10</f>
        <v>6.3073623059700799</v>
      </c>
      <c r="H10">
        <f>'[2]T1-Basic Desc Stats-recovered'!H10</f>
        <v>6.8330346016771903</v>
      </c>
      <c r="I10">
        <f>'[2]T1-Basic Desc Stats-recovered'!I10</f>
        <v>1.6003961028822102E-2</v>
      </c>
      <c r="J10">
        <f>'[2]T1-Basic Desc Stats-recovered'!J10</f>
        <v>0.90899370077887398</v>
      </c>
      <c r="K10">
        <f>'[2]T1-Basic Desc Stats-recovered'!K10</f>
        <v>0.90900000000000003</v>
      </c>
    </row>
    <row r="11" spans="1:11" x14ac:dyDescent="0.25">
      <c r="A11">
        <f>'[2]T1-Basic Desc Stats-recovered'!A11</f>
        <v>10</v>
      </c>
      <c r="B11" t="str">
        <f>'[2]T1-Basic Desc Stats-recovered'!B11</f>
        <v>Undeclared Allergen</v>
      </c>
      <c r="C11">
        <f>'[2]T1-Basic Desc Stats-recovered'!C11</f>
        <v>233</v>
      </c>
      <c r="D11">
        <f>'[2]T1-Basic Desc Stats-recovered'!D11</f>
        <v>2.82930812477389</v>
      </c>
      <c r="E11">
        <f>'[2]T1-Basic Desc Stats-recovered'!E11</f>
        <v>3.0580462303952798</v>
      </c>
      <c r="F11">
        <f>'[2]T1-Basic Desc Stats-recovered'!F11</f>
        <v>1.46226466546083</v>
      </c>
      <c r="G11">
        <f>'[2]T1-Basic Desc Stats-recovered'!G11</f>
        <v>5.53124254543782</v>
      </c>
      <c r="H11">
        <f>'[2]T1-Basic Desc Stats-recovered'!H11</f>
        <v>6.50073376191036</v>
      </c>
      <c r="I11">
        <f>'[2]T1-Basic Desc Stats-recovered'!I11</f>
        <v>2.82930812477389</v>
      </c>
      <c r="J11">
        <f>'[2]T1-Basic Desc Stats-recovered'!J11</f>
        <v>5.7994766762608097E-4</v>
      </c>
      <c r="K11" t="str">
        <f>'[2]T1-Basic Desc Stats-recovered'!K11</f>
        <v>&lt;0.001</v>
      </c>
    </row>
    <row r="12" spans="1:11" x14ac:dyDescent="0.25">
      <c r="A12" s="15">
        <f>'[2]T1-Basic Desc Stats-recovered'!A12</f>
        <v>11</v>
      </c>
      <c r="B12" s="15" t="str">
        <f>'[2]T1-Basic Desc Stats-recovered'!B12</f>
        <v>STEC</v>
      </c>
      <c r="C12" s="15">
        <f>'[2]T1-Basic Desc Stats-recovered'!C12</f>
        <v>146</v>
      </c>
      <c r="D12" s="15">
        <f>'[2]T1-Basic Desc Stats-recovered'!D12</f>
        <v>3.1900456813423901</v>
      </c>
      <c r="E12" s="15">
        <f>'[2]T1-Basic Desc Stats-recovered'!E12</f>
        <v>3.3922676376287799</v>
      </c>
      <c r="F12" s="15">
        <f>'[2]T1-Basic Desc Stats-recovered'!F12</f>
        <v>1.64232098530866</v>
      </c>
      <c r="G12" s="15">
        <f>'[2]T1-Basic Desc Stats-recovered'!G12</f>
        <v>7.2357104337095501</v>
      </c>
      <c r="H12" s="15">
        <f>'[2]T1-Basic Desc Stats-recovered'!H12</f>
        <v>7.5573632473248997</v>
      </c>
      <c r="I12" s="15">
        <f>'[2]T1-Basic Desc Stats-recovered'!I12</f>
        <v>0.36073755656849699</v>
      </c>
      <c r="J12" s="15">
        <f>'[2]T1-Basic Desc Stats-recovered'!J12</f>
        <v>2.7392480358707099E-2</v>
      </c>
      <c r="K12" s="15">
        <f>'[2]T1-Basic Desc Stats-recovered'!K12</f>
        <v>2.7E-2</v>
      </c>
    </row>
    <row r="13" spans="1:11" x14ac:dyDescent="0.25">
      <c r="A13" s="15">
        <f>'[2]T1-Basic Desc Stats-recovered'!A13</f>
        <v>12</v>
      </c>
      <c r="B13" s="15" t="str">
        <f>'[2]T1-Basic Desc Stats-recovered'!B13</f>
        <v>Extraneous Material</v>
      </c>
      <c r="C13" s="15">
        <f>'[2]T1-Basic Desc Stats-recovered'!C13</f>
        <v>105</v>
      </c>
      <c r="D13" s="15">
        <f>'[2]T1-Basic Desc Stats-recovered'!D13</f>
        <v>3.4174029702278701</v>
      </c>
      <c r="E13" s="15">
        <f>'[2]T1-Basic Desc Stats-recovered'!E13</f>
        <v>3.7272158209084898</v>
      </c>
      <c r="F13" s="15">
        <f>'[2]T1-Basic Desc Stats-recovered'!F13</f>
        <v>1.42227295088113</v>
      </c>
      <c r="G13" s="15">
        <f>'[2]T1-Basic Desc Stats-recovered'!G13</f>
        <v>5.7641910820291304</v>
      </c>
      <c r="H13" s="15">
        <f>'[2]T1-Basic Desc Stats-recovered'!H13</f>
        <v>6.4945689248282603</v>
      </c>
      <c r="I13" s="15">
        <f>'[2]T1-Basic Desc Stats-recovered'!I13</f>
        <v>0.58809484545398705</v>
      </c>
      <c r="J13" s="15">
        <f>'[2]T1-Basic Desc Stats-recovered'!J13</f>
        <v>1.2615388824731E-3</v>
      </c>
      <c r="K13" s="15">
        <f>'[2]T1-Basic Desc Stats-recovered'!K13</f>
        <v>1E-3</v>
      </c>
    </row>
    <row r="14" spans="1:11" x14ac:dyDescent="0.25">
      <c r="A14">
        <f>'[2]T1-Basic Desc Stats-recovered'!A14</f>
        <v>13</v>
      </c>
      <c r="B14" t="str">
        <f>'[2]T1-Basic Desc Stats-recovered'!B14</f>
        <v>Listeria</v>
      </c>
      <c r="C14">
        <f>'[2]T1-Basic Desc Stats-recovered'!C14</f>
        <v>157</v>
      </c>
      <c r="D14">
        <f>'[2]T1-Basic Desc Stats-recovered'!D14</f>
        <v>2.7170025001907199</v>
      </c>
      <c r="E14">
        <f>'[2]T1-Basic Desc Stats-recovered'!E14</f>
        <v>2.75358305889291</v>
      </c>
      <c r="F14">
        <f>'[2]T1-Basic Desc Stats-recovered'!F14</f>
        <v>1.41697884547322</v>
      </c>
      <c r="G14">
        <f>'[2]T1-Basic Desc Stats-recovered'!G14</f>
        <v>6.9258737835720598</v>
      </c>
      <c r="H14">
        <f>'[2]T1-Basic Desc Stats-recovered'!H14</f>
        <v>7.2379424751319803</v>
      </c>
      <c r="I14">
        <f>'[2]T1-Basic Desc Stats-recovered'!I14</f>
        <v>-0.112305624583173</v>
      </c>
      <c r="J14">
        <f>'[2]T1-Basic Desc Stats-recovered'!J14</f>
        <v>0.48215179310589401</v>
      </c>
      <c r="K14">
        <f>'[2]T1-Basic Desc Stats-recovered'!K14</f>
        <v>0.48199999999999998</v>
      </c>
    </row>
    <row r="15" spans="1:11" x14ac:dyDescent="0.25">
      <c r="A15">
        <f>'[2]T1-Basic Desc Stats-recovered'!A15</f>
        <v>14</v>
      </c>
      <c r="B15" t="str">
        <f>'[2]T1-Basic Desc Stats-recovered'!B15</f>
        <v>Other</v>
      </c>
      <c r="C15">
        <f>'[2]T1-Basic Desc Stats-recovered'!C15</f>
        <v>166</v>
      </c>
      <c r="D15">
        <f>'[2]T1-Basic Desc Stats-recovered'!D15</f>
        <v>2.9118625302366401</v>
      </c>
      <c r="E15">
        <f>'[2]T1-Basic Desc Stats-recovered'!E15</f>
        <v>3.12252858004388</v>
      </c>
      <c r="F15">
        <f>'[2]T1-Basic Desc Stats-recovered'!F15</f>
        <v>1.72025065219475</v>
      </c>
      <c r="G15">
        <f>'[2]T1-Basic Desc Stats-recovered'!G15</f>
        <v>7.7139236219374103</v>
      </c>
      <c r="H15">
        <f>'[2]T1-Basic Desc Stats-recovered'!H15</f>
        <v>7.7823198847509003</v>
      </c>
      <c r="I15">
        <f>'[2]T1-Basic Desc Stats-recovered'!I15</f>
        <v>8.2554405462750904E-2</v>
      </c>
      <c r="J15">
        <f>'[2]T1-Basic Desc Stats-recovered'!J15</f>
        <v>0.59940253243833896</v>
      </c>
      <c r="K15">
        <f>'[2]T1-Basic Desc Stats-recovered'!K15</f>
        <v>0.59899999999999998</v>
      </c>
    </row>
    <row r="16" spans="1:11" x14ac:dyDescent="0.25">
      <c r="A16" s="15">
        <f>'[2]T1-Basic Desc Stats-recovered'!A16</f>
        <v>15</v>
      </c>
      <c r="B16" s="15" t="str">
        <f>'[2]T1-Basic Desc Stats-recovered'!B16</f>
        <v>Processing Defect</v>
      </c>
      <c r="C16" s="15">
        <f>'[2]T1-Basic Desc Stats-recovered'!C16</f>
        <v>54</v>
      </c>
      <c r="D16" s="15">
        <f>'[2]T1-Basic Desc Stats-recovered'!D16</f>
        <v>3.4274082282673399</v>
      </c>
      <c r="E16" s="15">
        <f>'[2]T1-Basic Desc Stats-recovered'!E16</f>
        <v>3.5509888143026802</v>
      </c>
      <c r="F16" s="15">
        <f>'[2]T1-Basic Desc Stats-recovered'!F16</f>
        <v>1.2705553737348201</v>
      </c>
      <c r="G16" s="15">
        <f>'[2]T1-Basic Desc Stats-recovered'!G16</f>
        <v>7.0481495470251501</v>
      </c>
      <c r="H16" s="15">
        <f>'[2]T1-Basic Desc Stats-recovered'!H16</f>
        <v>7.1980142128724598</v>
      </c>
      <c r="I16" s="15">
        <f>'[2]T1-Basic Desc Stats-recovered'!I16</f>
        <v>0.598100103493444</v>
      </c>
      <c r="J16" s="15">
        <f>'[2]T1-Basic Desc Stats-recovered'!J16</f>
        <v>1.0622481723119E-2</v>
      </c>
      <c r="K16" s="15">
        <f>'[2]T1-Basic Desc Stats-recovered'!K16</f>
        <v>1.0999999999999999E-2</v>
      </c>
    </row>
    <row r="17" spans="1:11" x14ac:dyDescent="0.25">
      <c r="A17">
        <f>'[2]T1-Basic Desc Stats-recovered'!A17</f>
        <v>16</v>
      </c>
      <c r="B17" t="str">
        <f>'[2]T1-Basic Desc Stats-recovered'!B17</f>
        <v>Salmonella</v>
      </c>
      <c r="C17">
        <f>'[2]T1-Basic Desc Stats-recovered'!C17</f>
        <v>44</v>
      </c>
      <c r="D17">
        <f>'[2]T1-Basic Desc Stats-recovered'!D17</f>
        <v>3.2466438813921701</v>
      </c>
      <c r="E17">
        <f>'[2]T1-Basic Desc Stats-recovered'!E17</f>
        <v>3.20230639716877</v>
      </c>
      <c r="F17">
        <f>'[2]T1-Basic Desc Stats-recovered'!F17</f>
        <v>2.0800557935275501</v>
      </c>
      <c r="G17">
        <f>'[2]T1-Basic Desc Stats-recovered'!G17</f>
        <v>7.2359839898673499</v>
      </c>
      <c r="H17">
        <f>'[2]T1-Basic Desc Stats-recovered'!H17</f>
        <v>7.3711545923833803</v>
      </c>
      <c r="I17">
        <f>'[2]T1-Basic Desc Stats-recovered'!I17</f>
        <v>0.41733575661828498</v>
      </c>
      <c r="J17">
        <f>'[2]T1-Basic Desc Stats-recovered'!J17</f>
        <v>0.101072281788124</v>
      </c>
      <c r="K17">
        <f>'[2]T1-Basic Desc Stats-recovered'!K17</f>
        <v>0.10100000000000001</v>
      </c>
    </row>
    <row r="18" spans="1:11" x14ac:dyDescent="0.25">
      <c r="A18" s="15">
        <f>'[2]T1-Basic Desc Stats-recovered'!A18</f>
        <v>17</v>
      </c>
      <c r="B18" s="15" t="str">
        <f>'[2]T1-Basic Desc Stats-recovered'!B18</f>
        <v>Undeclared Substance</v>
      </c>
      <c r="C18" s="15">
        <f>'[2]T1-Basic Desc Stats-recovered'!C18</f>
        <v>39</v>
      </c>
      <c r="D18" s="15">
        <f>'[2]T1-Basic Desc Stats-recovered'!D18</f>
        <v>3.3861909897931399</v>
      </c>
      <c r="E18" s="15">
        <f>'[2]T1-Basic Desc Stats-recovered'!E18</f>
        <v>3.2848817146554499</v>
      </c>
      <c r="F18" s="15">
        <f>'[2]T1-Basic Desc Stats-recovered'!F18</f>
        <v>1.3487188253223901</v>
      </c>
      <c r="G18" s="15">
        <f>'[2]T1-Basic Desc Stats-recovered'!G18</f>
        <v>6.0126925763402603</v>
      </c>
      <c r="H18" s="15">
        <f>'[2]T1-Basic Desc Stats-recovered'!H18</f>
        <v>6.3501568844843002</v>
      </c>
      <c r="I18" s="15">
        <f>'[2]T1-Basic Desc Stats-recovered'!I18</f>
        <v>0.55688286501925299</v>
      </c>
      <c r="J18" s="15">
        <f>'[2]T1-Basic Desc Stats-recovered'!J18</f>
        <v>3.7725509930039702E-2</v>
      </c>
      <c r="K18" s="15">
        <f>'[2]T1-Basic Desc Stats-recovered'!K18</f>
        <v>3.7999999999999999E-2</v>
      </c>
    </row>
    <row r="19" spans="1:11" x14ac:dyDescent="0.25">
      <c r="A19">
        <f>'[2]T1-Basic Desc Stats-recovered'!A19</f>
        <v>18</v>
      </c>
      <c r="B19" t="str">
        <f>'[2]T1-Basic Desc Stats-recovered'!B19</f>
        <v>Autumn</v>
      </c>
      <c r="C19">
        <f>'[2]T1-Basic Desc Stats-recovered'!C19</f>
        <v>237</v>
      </c>
      <c r="D19">
        <f>'[2]T1-Basic Desc Stats-recovered'!D19</f>
        <v>3.0974639702558799</v>
      </c>
      <c r="E19">
        <f>'[2]T1-Basic Desc Stats-recovered'!E19</f>
        <v>3.16938049531195</v>
      </c>
      <c r="F19">
        <f>'[2]T1-Basic Desc Stats-recovered'!F19</f>
        <v>1.4612842897732501</v>
      </c>
      <c r="G19">
        <f>'[2]T1-Basic Desc Stats-recovered'!G19</f>
        <v>7.2359839898673499</v>
      </c>
      <c r="H19">
        <f>'[2]T1-Basic Desc Stats-recovered'!H19</f>
        <v>7.6909546989880004</v>
      </c>
      <c r="I19">
        <f>'[2]T1-Basic Desc Stats-recovered'!I19</f>
        <v>3.0974639702558902</v>
      </c>
      <c r="J19">
        <f>'[2]T1-Basic Desc Stats-recovered'!J19</f>
        <v>0.696364375144081</v>
      </c>
      <c r="K19">
        <f>'[2]T1-Basic Desc Stats-recovered'!K19</f>
        <v>0.69599999999999995</v>
      </c>
    </row>
    <row r="20" spans="1:11" x14ac:dyDescent="0.25">
      <c r="A20">
        <f>'[2]T1-Basic Desc Stats-recovered'!A20</f>
        <v>19</v>
      </c>
      <c r="B20" t="str">
        <f>'[2]T1-Basic Desc Stats-recovered'!B20</f>
        <v>Spring</v>
      </c>
      <c r="C20">
        <f>'[2]T1-Basic Desc Stats-recovered'!C20</f>
        <v>237</v>
      </c>
      <c r="D20">
        <f>'[2]T1-Basic Desc Stats-recovered'!D20</f>
        <v>2.9314703592333098</v>
      </c>
      <c r="E20">
        <f>'[2]T1-Basic Desc Stats-recovered'!E20</f>
        <v>3.1622656142980201</v>
      </c>
      <c r="F20">
        <f>'[2]T1-Basic Desc Stats-recovered'!F20</f>
        <v>1.56307358577138</v>
      </c>
      <c r="G20">
        <f>'[2]T1-Basic Desc Stats-recovered'!G20</f>
        <v>6.5765835429520596</v>
      </c>
      <c r="H20">
        <f>'[2]T1-Basic Desc Stats-recovered'!H20</f>
        <v>7.0355927781502299</v>
      </c>
      <c r="I20">
        <f>'[2]T1-Basic Desc Stats-recovered'!I20</f>
        <v>-0.16599361102257901</v>
      </c>
      <c r="J20">
        <f>'[2]T1-Basic Desc Stats-recovered'!J20</f>
        <v>0.24813700623180501</v>
      </c>
      <c r="K20">
        <f>'[2]T1-Basic Desc Stats-recovered'!K20</f>
        <v>0.248</v>
      </c>
    </row>
    <row r="21" spans="1:11" x14ac:dyDescent="0.25">
      <c r="A21">
        <f>'[2]T1-Basic Desc Stats-recovered'!A21</f>
        <v>20</v>
      </c>
      <c r="B21" t="str">
        <f>'[2]T1-Basic Desc Stats-recovered'!B21</f>
        <v>Summer</v>
      </c>
      <c r="C21">
        <f>'[2]T1-Basic Desc Stats-recovered'!C21</f>
        <v>220</v>
      </c>
      <c r="D21">
        <f>'[2]T1-Basic Desc Stats-recovered'!D21</f>
        <v>3.0105091591225799</v>
      </c>
      <c r="E21">
        <f>'[2]T1-Basic Desc Stats-recovered'!E21</f>
        <v>3.2654125336806699</v>
      </c>
      <c r="F21">
        <f>'[2]T1-Basic Desc Stats-recovered'!F21</f>
        <v>1.65972670671341</v>
      </c>
      <c r="G21">
        <f>'[2]T1-Basic Desc Stats-recovered'!G21</f>
        <v>7.0481495470251501</v>
      </c>
      <c r="H21">
        <f>'[2]T1-Basic Desc Stats-recovered'!H21</f>
        <v>7.4963706322218702</v>
      </c>
      <c r="I21">
        <f>'[2]T1-Basic Desc Stats-recovered'!I21</f>
        <v>-8.6954811133305498E-2</v>
      </c>
      <c r="J21">
        <f>'[2]T1-Basic Desc Stats-recovered'!J21</f>
        <v>0.55266152672037605</v>
      </c>
      <c r="K21">
        <f>'[2]T1-Basic Desc Stats-recovered'!K21</f>
        <v>0.55300000000000005</v>
      </c>
    </row>
    <row r="22" spans="1:11" x14ac:dyDescent="0.25">
      <c r="A22">
        <f>'[2]T1-Basic Desc Stats-recovered'!A22</f>
        <v>21</v>
      </c>
      <c r="B22" t="str">
        <f>'[2]T1-Basic Desc Stats-recovered'!B22</f>
        <v>Winter</v>
      </c>
      <c r="C22">
        <f>'[2]T1-Basic Desc Stats-recovered'!C22</f>
        <v>250</v>
      </c>
      <c r="D22">
        <f>'[2]T1-Basic Desc Stats-recovered'!D22</f>
        <v>3.05026287834071</v>
      </c>
      <c r="E22">
        <f>'[2]T1-Basic Desc Stats-recovered'!E22</f>
        <v>3.2761167303961698</v>
      </c>
      <c r="F22">
        <f>'[2]T1-Basic Desc Stats-recovered'!F22</f>
        <v>1.5709565015648601</v>
      </c>
      <c r="G22">
        <f>'[2]T1-Basic Desc Stats-recovered'!G22</f>
        <v>7.7139236219374103</v>
      </c>
      <c r="H22">
        <f>'[2]T1-Basic Desc Stats-recovered'!H22</f>
        <v>7.8480332681751896</v>
      </c>
      <c r="I22">
        <f>'[2]T1-Basic Desc Stats-recovered'!I22</f>
        <v>-4.7201091915178101E-2</v>
      </c>
      <c r="J22">
        <f>'[2]T1-Basic Desc Stats-recovered'!J22</f>
        <v>0.739239884577234</v>
      </c>
      <c r="K22">
        <f>'[2]T1-Basic Desc Stats-recovered'!K22</f>
        <v>0.73899999999999999</v>
      </c>
    </row>
    <row r="23" spans="1:11" x14ac:dyDescent="0.25">
      <c r="A23">
        <f>'[2]T1-Basic Desc Stats-recovered'!A23</f>
        <v>22</v>
      </c>
      <c r="B23">
        <f>'[2]T1-Basic Desc Stats-recovered'!B23</f>
        <v>1994</v>
      </c>
      <c r="C23">
        <f>'[2]T1-Basic Desc Stats-recovered'!C23</f>
        <v>50</v>
      </c>
      <c r="D23">
        <f>'[2]T1-Basic Desc Stats-recovered'!D23</f>
        <v>3.3301916941778802</v>
      </c>
      <c r="E23">
        <f>'[2]T1-Basic Desc Stats-recovered'!E23</f>
        <v>3.5871609089879102</v>
      </c>
      <c r="F23">
        <f>'[2]T1-Basic Desc Stats-recovered'!F23</f>
        <v>1.3710292246851501</v>
      </c>
      <c r="G23">
        <f>'[2]T1-Basic Desc Stats-recovered'!G23</f>
        <v>5.47991777400944</v>
      </c>
      <c r="H23">
        <f>'[2]T1-Basic Desc Stats-recovered'!H23</f>
        <v>6.1319764730728696</v>
      </c>
      <c r="I23">
        <f>'[2]T1-Basic Desc Stats-recovered'!I23</f>
        <v>3.3301916941778802</v>
      </c>
      <c r="J23">
        <f>'[2]T1-Basic Desc Stats-recovered'!J23</f>
        <v>1.15199638152634E-12</v>
      </c>
      <c r="K23" t="str">
        <f>'[2]T1-Basic Desc Stats-recovered'!K23</f>
        <v>&lt;0.001</v>
      </c>
    </row>
    <row r="24" spans="1:11" x14ac:dyDescent="0.25">
      <c r="A24">
        <f>'[2]T1-Basic Desc Stats-recovered'!A24</f>
        <v>23</v>
      </c>
      <c r="B24">
        <f>'[2]T1-Basic Desc Stats-recovered'!B24</f>
        <v>1995</v>
      </c>
      <c r="C24">
        <f>'[2]T1-Basic Desc Stats-recovered'!C24</f>
        <v>42</v>
      </c>
      <c r="D24">
        <f>'[2]T1-Basic Desc Stats-recovered'!D24</f>
        <v>2.7838708613954202</v>
      </c>
      <c r="E24">
        <f>'[2]T1-Basic Desc Stats-recovered'!E24</f>
        <v>3.4353622955858598</v>
      </c>
      <c r="F24">
        <f>'[2]T1-Basic Desc Stats-recovered'!F24</f>
        <v>1.68845076061899</v>
      </c>
      <c r="G24">
        <f>'[2]T1-Basic Desc Stats-recovered'!G24</f>
        <v>5.6593998715914404</v>
      </c>
      <c r="H24">
        <f>'[2]T1-Basic Desc Stats-recovered'!H24</f>
        <v>6.1079588209306603</v>
      </c>
      <c r="I24">
        <f>'[2]T1-Basic Desc Stats-recovered'!I24</f>
        <v>-0.54632083278244803</v>
      </c>
      <c r="J24">
        <f>'[2]T1-Basic Desc Stats-recovered'!J24</f>
        <v>8.2413287313339606E-2</v>
      </c>
      <c r="K24">
        <f>'[2]T1-Basic Desc Stats-recovered'!K24</f>
        <v>8.2000000000000003E-2</v>
      </c>
    </row>
    <row r="25" spans="1:11" x14ac:dyDescent="0.25">
      <c r="A25">
        <f>'[2]T1-Basic Desc Stats-recovered'!A25</f>
        <v>24</v>
      </c>
      <c r="B25">
        <f>'[2]T1-Basic Desc Stats-recovered'!B25</f>
        <v>1996</v>
      </c>
      <c r="C25">
        <f>'[2]T1-Basic Desc Stats-recovered'!C25</f>
        <v>24</v>
      </c>
      <c r="D25">
        <f>'[2]T1-Basic Desc Stats-recovered'!D25</f>
        <v>3.4521347706379899</v>
      </c>
      <c r="E25">
        <f>'[2]T1-Basic Desc Stats-recovered'!E25</f>
        <v>3.4551473587478498</v>
      </c>
      <c r="F25">
        <f>'[2]T1-Basic Desc Stats-recovered'!F25</f>
        <v>0.99221024671057201</v>
      </c>
      <c r="G25">
        <f>'[2]T1-Basic Desc Stats-recovered'!G25</f>
        <v>5.4992842113748601</v>
      </c>
      <c r="H25">
        <f>'[2]T1-Basic Desc Stats-recovered'!H25</f>
        <v>5.7639286411042603</v>
      </c>
      <c r="I25">
        <f>'[2]T1-Basic Desc Stats-recovered'!I25</f>
        <v>0.121943076460111</v>
      </c>
      <c r="J25">
        <f>'[2]T1-Basic Desc Stats-recovered'!J25</f>
        <v>0.74365412152982502</v>
      </c>
      <c r="K25">
        <f>'[2]T1-Basic Desc Stats-recovered'!K25</f>
        <v>0.74399999999999999</v>
      </c>
    </row>
    <row r="26" spans="1:11" x14ac:dyDescent="0.25">
      <c r="A26">
        <f>'[2]T1-Basic Desc Stats-recovered'!A26</f>
        <v>25</v>
      </c>
      <c r="B26">
        <f>'[2]T1-Basic Desc Stats-recovered'!B26</f>
        <v>1997</v>
      </c>
      <c r="C26">
        <f>'[2]T1-Basic Desc Stats-recovered'!C26</f>
        <v>27</v>
      </c>
      <c r="D26">
        <f>'[2]T1-Basic Desc Stats-recovered'!D26</f>
        <v>3.3596042565777702</v>
      </c>
      <c r="E26">
        <f>'[2]T1-Basic Desc Stats-recovered'!E26</f>
        <v>3.6739419986340902</v>
      </c>
      <c r="F26">
        <f>'[2]T1-Basic Desc Stats-recovered'!F26</f>
        <v>1.6805278070260601</v>
      </c>
      <c r="G26">
        <f>'[2]T1-Basic Desc Stats-recovered'!G26</f>
        <v>7.0045122494051002</v>
      </c>
      <c r="H26">
        <f>'[2]T1-Basic Desc Stats-recovered'!H26</f>
        <v>7.05276240811137</v>
      </c>
      <c r="I26">
        <f>'[2]T1-Basic Desc Stats-recovered'!I26</f>
        <v>2.9412562399893299E-2</v>
      </c>
      <c r="J26">
        <f>'[2]T1-Basic Desc Stats-recovered'!J26</f>
        <v>0.93463285801531304</v>
      </c>
      <c r="K26">
        <f>'[2]T1-Basic Desc Stats-recovered'!K26</f>
        <v>0.93500000000000005</v>
      </c>
    </row>
    <row r="27" spans="1:11" x14ac:dyDescent="0.25">
      <c r="A27">
        <f>'[2]T1-Basic Desc Stats-recovered'!A27</f>
        <v>26</v>
      </c>
      <c r="B27">
        <f>'[2]T1-Basic Desc Stats-recovered'!B27</f>
        <v>1998</v>
      </c>
      <c r="C27">
        <f>'[2]T1-Basic Desc Stats-recovered'!C27</f>
        <v>44</v>
      </c>
      <c r="D27">
        <f>'[2]T1-Basic Desc Stats-recovered'!D27</f>
        <v>3.6911145867192898</v>
      </c>
      <c r="E27">
        <f>'[2]T1-Basic Desc Stats-recovered'!E27</f>
        <v>3.7698974881587701</v>
      </c>
      <c r="F27">
        <f>'[2]T1-Basic Desc Stats-recovered'!F27</f>
        <v>1.53843219567864</v>
      </c>
      <c r="G27">
        <f>'[2]T1-Basic Desc Stats-recovered'!G27</f>
        <v>6.7722333716324199</v>
      </c>
      <c r="H27">
        <f>'[2]T1-Basic Desc Stats-recovered'!H27</f>
        <v>7.1105537869366504</v>
      </c>
      <c r="I27">
        <f>'[2]T1-Basic Desc Stats-recovered'!I27</f>
        <v>0.36092289254141102</v>
      </c>
      <c r="J27">
        <f>'[2]T1-Basic Desc Stats-recovered'!J27</f>
        <v>0.24507237712189001</v>
      </c>
      <c r="K27">
        <f>'[2]T1-Basic Desc Stats-recovered'!K27</f>
        <v>0.245</v>
      </c>
    </row>
    <row r="28" spans="1:11" x14ac:dyDescent="0.25">
      <c r="A28">
        <f>'[2]T1-Basic Desc Stats-recovered'!A28</f>
        <v>27</v>
      </c>
      <c r="B28">
        <f>'[2]T1-Basic Desc Stats-recovered'!B28</f>
        <v>1999</v>
      </c>
      <c r="C28">
        <f>'[2]T1-Basic Desc Stats-recovered'!C28</f>
        <v>62</v>
      </c>
      <c r="D28">
        <f>'[2]T1-Basic Desc Stats-recovered'!D28</f>
        <v>3.0414164556127901</v>
      </c>
      <c r="E28">
        <f>'[2]T1-Basic Desc Stats-recovered'!E28</f>
        <v>2.98446760990362</v>
      </c>
      <c r="F28">
        <f>'[2]T1-Basic Desc Stats-recovered'!F28</f>
        <v>1.4676563007371699</v>
      </c>
      <c r="G28">
        <f>'[2]T1-Basic Desc Stats-recovered'!G28</f>
        <v>6.9258737835720598</v>
      </c>
      <c r="H28">
        <f>'[2]T1-Basic Desc Stats-recovered'!H28</f>
        <v>6.9825681708346199</v>
      </c>
      <c r="I28">
        <f>'[2]T1-Basic Desc Stats-recovered'!I28</f>
        <v>-0.28877523856508402</v>
      </c>
      <c r="J28">
        <f>'[2]T1-Basic Desc Stats-recovered'!J28</f>
        <v>0.31177867475257898</v>
      </c>
      <c r="K28">
        <f>'[2]T1-Basic Desc Stats-recovered'!K28</f>
        <v>0.312</v>
      </c>
    </row>
    <row r="29" spans="1:11" x14ac:dyDescent="0.25">
      <c r="A29">
        <f>'[2]T1-Basic Desc Stats-recovered'!A29</f>
        <v>28</v>
      </c>
      <c r="B29">
        <f>'[2]T1-Basic Desc Stats-recovered'!B29</f>
        <v>2006</v>
      </c>
      <c r="C29">
        <f>'[2]T1-Basic Desc Stats-recovered'!C29</f>
        <v>34</v>
      </c>
      <c r="D29">
        <f>'[2]T1-Basic Desc Stats-recovered'!D29</f>
        <v>2.8388806967993201</v>
      </c>
      <c r="E29">
        <f>'[2]T1-Basic Desc Stats-recovered'!E29</f>
        <v>2.9821333516696402</v>
      </c>
      <c r="F29">
        <f>'[2]T1-Basic Desc Stats-recovered'!F29</f>
        <v>1.42829301833718</v>
      </c>
      <c r="G29">
        <f>'[2]T1-Basic Desc Stats-recovered'!G29</f>
        <v>5.7641910820291304</v>
      </c>
      <c r="H29">
        <f>'[2]T1-Basic Desc Stats-recovered'!H29</f>
        <v>5.9507353315975404</v>
      </c>
      <c r="I29">
        <f>'[2]T1-Basic Desc Stats-recovered'!I29</f>
        <v>-0.49131099737855799</v>
      </c>
      <c r="J29">
        <f>'[2]T1-Basic Desc Stats-recovered'!J29</f>
        <v>0.141265654227517</v>
      </c>
      <c r="K29">
        <f>'[2]T1-Basic Desc Stats-recovered'!K29</f>
        <v>0.14099999999999999</v>
      </c>
    </row>
    <row r="30" spans="1:11" x14ac:dyDescent="0.25">
      <c r="A30">
        <f>'[2]T1-Basic Desc Stats-recovered'!A30</f>
        <v>29</v>
      </c>
      <c r="B30">
        <f>'[2]T1-Basic Desc Stats-recovered'!B30</f>
        <v>2007</v>
      </c>
      <c r="C30">
        <f>'[2]T1-Basic Desc Stats-recovered'!C30</f>
        <v>58</v>
      </c>
      <c r="D30">
        <f>'[2]T1-Basic Desc Stats-recovered'!D30</f>
        <v>3.6147099315354199</v>
      </c>
      <c r="E30">
        <f>'[2]T1-Basic Desc Stats-recovered'!E30</f>
        <v>3.5024334760069999</v>
      </c>
      <c r="F30">
        <f>'[2]T1-Basic Desc Stats-recovered'!F30</f>
        <v>1.56076261991744</v>
      </c>
      <c r="G30">
        <f>'[2]T1-Basic Desc Stats-recovered'!G30</f>
        <v>7.2359839898673499</v>
      </c>
      <c r="H30">
        <f>'[2]T1-Basic Desc Stats-recovered'!H30</f>
        <v>7.6977024920735104</v>
      </c>
      <c r="I30">
        <f>'[2]T1-Basic Desc Stats-recovered'!I30</f>
        <v>0.28451823735753701</v>
      </c>
      <c r="J30">
        <f>'[2]T1-Basic Desc Stats-recovered'!J30</f>
        <v>0.32629425698293602</v>
      </c>
      <c r="K30">
        <f>'[2]T1-Basic Desc Stats-recovered'!K30</f>
        <v>0.32600000000000001</v>
      </c>
    </row>
    <row r="31" spans="1:11" x14ac:dyDescent="0.25">
      <c r="A31">
        <f>'[2]T1-Basic Desc Stats-recovered'!A31</f>
        <v>30</v>
      </c>
      <c r="B31">
        <f>'[2]T1-Basic Desc Stats-recovered'!B31</f>
        <v>2008</v>
      </c>
      <c r="C31">
        <f>'[2]T1-Basic Desc Stats-recovered'!C31</f>
        <v>54</v>
      </c>
      <c r="D31">
        <f>'[2]T1-Basic Desc Stats-recovered'!D31</f>
        <v>3.3466663632000002</v>
      </c>
      <c r="E31">
        <f>'[2]T1-Basic Desc Stats-recovered'!E31</f>
        <v>3.6554214502482298</v>
      </c>
      <c r="F31">
        <f>'[2]T1-Basic Desc Stats-recovered'!F31</f>
        <v>1.71317501356488</v>
      </c>
      <c r="G31">
        <f>'[2]T1-Basic Desc Stats-recovered'!G31</f>
        <v>7.7139236219374103</v>
      </c>
      <c r="H31">
        <f>'[2]T1-Basic Desc Stats-recovered'!H31</f>
        <v>7.7416760532437996</v>
      </c>
      <c r="I31">
        <f>'[2]T1-Basic Desc Stats-recovered'!I31</f>
        <v>1.6474669022122499E-2</v>
      </c>
      <c r="J31">
        <f>'[2]T1-Basic Desc Stats-recovered'!J31</f>
        <v>0.95541918778536505</v>
      </c>
      <c r="K31">
        <f>'[2]T1-Basic Desc Stats-recovered'!K31</f>
        <v>0.95499999999999996</v>
      </c>
    </row>
    <row r="32" spans="1:11" x14ac:dyDescent="0.25">
      <c r="A32">
        <f>'[2]T1-Basic Desc Stats-recovered'!A32</f>
        <v>31</v>
      </c>
      <c r="B32">
        <f>'[2]T1-Basic Desc Stats-recovered'!B32</f>
        <v>2009</v>
      </c>
      <c r="C32">
        <f>'[2]T1-Basic Desc Stats-recovered'!C32</f>
        <v>68</v>
      </c>
      <c r="D32">
        <f>'[2]T1-Basic Desc Stats-recovered'!D32</f>
        <v>3.2740541110546202</v>
      </c>
      <c r="E32">
        <f>'[2]T1-Basic Desc Stats-recovered'!E32</f>
        <v>3.4405928630151998</v>
      </c>
      <c r="F32">
        <f>'[2]T1-Basic Desc Stats-recovered'!F32</f>
        <v>1.470070370163</v>
      </c>
      <c r="G32">
        <f>'[2]T1-Basic Desc Stats-recovered'!G32</f>
        <v>6.0126925763402603</v>
      </c>
      <c r="H32">
        <f>'[2]T1-Basic Desc Stats-recovered'!H32</f>
        <v>6.56178450198981</v>
      </c>
      <c r="I32">
        <f>'[2]T1-Basic Desc Stats-recovered'!I32</f>
        <v>-5.6137583123258498E-2</v>
      </c>
      <c r="J32">
        <f>'[2]T1-Basic Desc Stats-recovered'!J32</f>
        <v>0.84095028532074301</v>
      </c>
      <c r="K32">
        <f>'[2]T1-Basic Desc Stats-recovered'!K32</f>
        <v>0.84099999999999997</v>
      </c>
    </row>
    <row r="33" spans="1:11" x14ac:dyDescent="0.25">
      <c r="A33">
        <f>'[2]T1-Basic Desc Stats-recovered'!A33</f>
        <v>32</v>
      </c>
      <c r="B33">
        <f>'[2]T1-Basic Desc Stats-recovered'!B33</f>
        <v>2010</v>
      </c>
      <c r="C33">
        <f>'[2]T1-Basic Desc Stats-recovered'!C33</f>
        <v>68</v>
      </c>
      <c r="D33">
        <f>'[2]T1-Basic Desc Stats-recovered'!D33</f>
        <v>3.33594830381583</v>
      </c>
      <c r="E33">
        <f>'[2]T1-Basic Desc Stats-recovered'!E33</f>
        <v>3.4692569105665201</v>
      </c>
      <c r="F33">
        <f>'[2]T1-Basic Desc Stats-recovered'!F33</f>
        <v>1.5282503338323301</v>
      </c>
      <c r="G33">
        <f>'[2]T1-Basic Desc Stats-recovered'!G33</f>
        <v>6.5765835429520596</v>
      </c>
      <c r="H33">
        <f>'[2]T1-Basic Desc Stats-recovered'!H33</f>
        <v>6.8240020228090197</v>
      </c>
      <c r="I33">
        <f>'[2]T1-Basic Desc Stats-recovered'!I33</f>
        <v>5.7566096379558203E-3</v>
      </c>
      <c r="J33">
        <f>'[2]T1-Basic Desc Stats-recovered'!J33</f>
        <v>0.98358174022470501</v>
      </c>
      <c r="K33">
        <f>'[2]T1-Basic Desc Stats-recovered'!K33</f>
        <v>0.98399999999999999</v>
      </c>
    </row>
    <row r="34" spans="1:11" x14ac:dyDescent="0.25">
      <c r="A34">
        <f>'[2]T1-Basic Desc Stats-recovered'!A34</f>
        <v>33</v>
      </c>
      <c r="B34">
        <f>'[2]T1-Basic Desc Stats-recovered'!B34</f>
        <v>2011</v>
      </c>
      <c r="C34">
        <f>'[2]T1-Basic Desc Stats-recovered'!C34</f>
        <v>98</v>
      </c>
      <c r="D34">
        <f>'[2]T1-Basic Desc Stats-recovered'!D34</f>
        <v>2.9409801202899102</v>
      </c>
      <c r="E34">
        <f>'[2]T1-Basic Desc Stats-recovered'!E34</f>
        <v>3.0716435821593899</v>
      </c>
      <c r="F34">
        <f>'[2]T1-Basic Desc Stats-recovered'!F34</f>
        <v>1.39976526434816</v>
      </c>
      <c r="G34">
        <f>'[2]T1-Basic Desc Stats-recovered'!G34</f>
        <v>6.3073623059700799</v>
      </c>
      <c r="H34">
        <f>'[2]T1-Basic Desc Stats-recovered'!H34</f>
        <v>6.55958766639736</v>
      </c>
      <c r="I34">
        <f>'[2]T1-Basic Desc Stats-recovered'!I34</f>
        <v>-0.38921157388797201</v>
      </c>
      <c r="J34">
        <f>'[2]T1-Basic Desc Stats-recovered'!J34</f>
        <v>0.136080759896583</v>
      </c>
      <c r="K34">
        <f>'[2]T1-Basic Desc Stats-recovered'!K34</f>
        <v>0.13600000000000001</v>
      </c>
    </row>
    <row r="35" spans="1:11" x14ac:dyDescent="0.25">
      <c r="A35">
        <f>'[2]T1-Basic Desc Stats-recovered'!A35</f>
        <v>34</v>
      </c>
      <c r="B35">
        <f>'[2]T1-Basic Desc Stats-recovered'!B35</f>
        <v>2012</v>
      </c>
      <c r="C35">
        <f>'[2]T1-Basic Desc Stats-recovered'!C35</f>
        <v>75</v>
      </c>
      <c r="D35">
        <f>'[2]T1-Basic Desc Stats-recovered'!D35</f>
        <v>2.9760002302634598</v>
      </c>
      <c r="E35">
        <f>'[2]T1-Basic Desc Stats-recovered'!E35</f>
        <v>3.1267805770120098</v>
      </c>
      <c r="F35">
        <f>'[2]T1-Basic Desc Stats-recovered'!F35</f>
        <v>1.3764611440686501</v>
      </c>
      <c r="G35">
        <f>'[2]T1-Basic Desc Stats-recovered'!G35</f>
        <v>6.1132897486376399</v>
      </c>
      <c r="H35">
        <f>'[2]T1-Basic Desc Stats-recovered'!H35</f>
        <v>6.3411780271406704</v>
      </c>
      <c r="I35">
        <f>'[2]T1-Basic Desc Stats-recovered'!I35</f>
        <v>-0.35419146391441803</v>
      </c>
      <c r="J35">
        <f>'[2]T1-Basic Desc Stats-recovered'!J35</f>
        <v>0.196569924028554</v>
      </c>
      <c r="K35">
        <f>'[2]T1-Basic Desc Stats-recovered'!K35</f>
        <v>0.19700000000000001</v>
      </c>
    </row>
    <row r="36" spans="1:11" x14ac:dyDescent="0.25">
      <c r="A36">
        <f>'[2]T1-Basic Desc Stats-recovered'!A36</f>
        <v>35</v>
      </c>
      <c r="B36">
        <f>'[2]T1-Basic Desc Stats-recovered'!B36</f>
        <v>2013</v>
      </c>
      <c r="C36">
        <f>'[2]T1-Basic Desc Stats-recovered'!C36</f>
        <v>60</v>
      </c>
      <c r="D36">
        <f>'[2]T1-Basic Desc Stats-recovered'!D36</f>
        <v>3.1395036544495198</v>
      </c>
      <c r="E36">
        <f>'[2]T1-Basic Desc Stats-recovered'!E36</f>
        <v>3.2359453267962999</v>
      </c>
      <c r="F36">
        <f>'[2]T1-Basic Desc Stats-recovered'!F36</f>
        <v>1.27837019808692</v>
      </c>
      <c r="G36">
        <f>'[2]T1-Basic Desc Stats-recovered'!G36</f>
        <v>5.1536502584030304</v>
      </c>
      <c r="H36">
        <f>'[2]T1-Basic Desc Stats-recovered'!H36</f>
        <v>5.9419440208870702</v>
      </c>
      <c r="I36">
        <f>'[2]T1-Basic Desc Stats-recovered'!I36</f>
        <v>-0.19068803972835199</v>
      </c>
      <c r="J36">
        <f>'[2]T1-Basic Desc Stats-recovered'!J36</f>
        <v>0.50725696013882804</v>
      </c>
      <c r="K36">
        <f>'[2]T1-Basic Desc Stats-recovered'!K36</f>
        <v>0.50700000000000001</v>
      </c>
    </row>
    <row r="37" spans="1:11" x14ac:dyDescent="0.25">
      <c r="A37">
        <f>'[2]T1-Basic Desc Stats-recovered'!A37</f>
        <v>36</v>
      </c>
      <c r="B37">
        <f>'[2]T1-Basic Desc Stats-recovered'!B37</f>
        <v>2014</v>
      </c>
      <c r="C37">
        <f>'[2]T1-Basic Desc Stats-recovered'!C37</f>
        <v>57</v>
      </c>
      <c r="D37">
        <f>'[2]T1-Basic Desc Stats-recovered'!D37</f>
        <v>2.9330910266234702</v>
      </c>
      <c r="E37">
        <f>'[2]T1-Basic Desc Stats-recovered'!E37</f>
        <v>3.1586639808139898</v>
      </c>
      <c r="F37">
        <f>'[2]T1-Basic Desc Stats-recovered'!F37</f>
        <v>1.5430090741231499</v>
      </c>
      <c r="G37">
        <f>'[2]T1-Basic Desc Stats-recovered'!G37</f>
        <v>5.53124254543782</v>
      </c>
      <c r="H37">
        <f>'[2]T1-Basic Desc Stats-recovered'!H37</f>
        <v>6.1154224430800603</v>
      </c>
      <c r="I37">
        <f>'[2]T1-Basic Desc Stats-recovered'!I37</f>
        <v>-0.39710066755442103</v>
      </c>
      <c r="J37">
        <f>'[2]T1-Basic Desc Stats-recovered'!J37</f>
        <v>0.17251670449234</v>
      </c>
      <c r="K37">
        <f>'[2]T1-Basic Desc Stats-recovered'!K37</f>
        <v>0.17299999999999999</v>
      </c>
    </row>
    <row r="38" spans="1:11" x14ac:dyDescent="0.25">
      <c r="A38">
        <f>'[2]T1-Basic Desc Stats-recovered'!A38</f>
        <v>37</v>
      </c>
      <c r="B38">
        <f>'[2]T1-Basic Desc Stats-recovered'!B38</f>
        <v>2015</v>
      </c>
      <c r="C38">
        <f>'[2]T1-Basic Desc Stats-recovered'!C38</f>
        <v>123</v>
      </c>
      <c r="D38">
        <f>'[2]T1-Basic Desc Stats-recovered'!D38</f>
        <v>1.97087686113923</v>
      </c>
      <c r="E38">
        <f>'[2]T1-Basic Desc Stats-recovered'!E38</f>
        <v>2.2810333672477299</v>
      </c>
      <c r="F38">
        <f>'[2]T1-Basic Desc Stats-recovered'!F38</f>
        <v>1.6447262105664699</v>
      </c>
      <c r="G38">
        <f>'[2]T1-Basic Desc Stats-recovered'!G38</f>
        <v>5.0751161027898002</v>
      </c>
      <c r="H38">
        <f>'[2]T1-Basic Desc Stats-recovered'!H38</f>
        <v>5.7250806168924298</v>
      </c>
      <c r="I38">
        <f>'[2]T1-Basic Desc Stats-recovered'!I38</f>
        <v>-1.35931483303864</v>
      </c>
      <c r="J38">
        <f>'[2]T1-Basic Desc Stats-recovered'!J38</f>
        <v>8.5198378366192805E-8</v>
      </c>
      <c r="K38" t="str">
        <f>'[2]T1-Basic Desc Stats-recovered'!K38</f>
        <v>&lt;0.001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/>
  </sheetViews>
  <sheetFormatPr defaultRowHeight="15" x14ac:dyDescent="0.25"/>
  <sheetData>
    <row r="1" spans="1:3" x14ac:dyDescent="0.25">
      <c r="A1" s="7" t="s">
        <v>17</v>
      </c>
      <c r="B1" s="7" t="s">
        <v>16</v>
      </c>
      <c r="C1" s="7" t="s">
        <v>11</v>
      </c>
    </row>
    <row r="2" spans="1:3" x14ac:dyDescent="0.25">
      <c r="A2" s="3" t="s">
        <v>12</v>
      </c>
      <c r="B2" s="4">
        <v>3.9390000000000001</v>
      </c>
      <c r="C2" s="4" t="s">
        <v>10</v>
      </c>
    </row>
    <row r="3" spans="1:3" x14ac:dyDescent="0.25">
      <c r="A3" s="3" t="s">
        <v>13</v>
      </c>
      <c r="B3" s="4"/>
      <c r="C3" s="4">
        <v>1.47E-2</v>
      </c>
    </row>
    <row r="4" spans="1:3" x14ac:dyDescent="0.25">
      <c r="A4" s="3" t="s">
        <v>18</v>
      </c>
      <c r="B4" s="4">
        <v>-0.19789999999999999</v>
      </c>
      <c r="C4" s="4">
        <v>5.1999999999999998E-3</v>
      </c>
    </row>
    <row r="5" spans="1:3" x14ac:dyDescent="0.25">
      <c r="A5" s="3" t="s">
        <v>14</v>
      </c>
      <c r="B5" s="4"/>
      <c r="C5" s="4" t="s">
        <v>10</v>
      </c>
    </row>
    <row r="6" spans="1:3" x14ac:dyDescent="0.25">
      <c r="A6" s="3" t="s">
        <v>19</v>
      </c>
      <c r="B6" s="4">
        <v>-0.72111999999999998</v>
      </c>
      <c r="C6" s="4" t="s">
        <v>10</v>
      </c>
    </row>
    <row r="7" spans="1:3" x14ac:dyDescent="0.25">
      <c r="A7" s="3" t="s">
        <v>20</v>
      </c>
      <c r="B7" s="4">
        <v>0.36449999999999999</v>
      </c>
      <c r="C7" s="4">
        <v>2.0000000000000001E-4</v>
      </c>
    </row>
    <row r="8" spans="1:3" x14ac:dyDescent="0.25">
      <c r="A8" s="3" t="s">
        <v>15</v>
      </c>
      <c r="B8" s="4"/>
      <c r="C8" s="4" t="s">
        <v>10</v>
      </c>
    </row>
    <row r="9" spans="1:3" x14ac:dyDescent="0.25">
      <c r="A9" s="3">
        <v>2002</v>
      </c>
      <c r="B9" s="4">
        <v>-0.3392</v>
      </c>
      <c r="C9" s="4">
        <v>2.0999999999999999E-3</v>
      </c>
    </row>
    <row r="10" spans="1:3" x14ac:dyDescent="0.25">
      <c r="A10" s="3">
        <v>1998</v>
      </c>
      <c r="B10" s="4">
        <v>0.46579999999999999</v>
      </c>
      <c r="C10" s="4">
        <v>7.3000000000000001E-3</v>
      </c>
    </row>
    <row r="11" spans="1:3" x14ac:dyDescent="0.25">
      <c r="A11" s="3">
        <v>2007</v>
      </c>
      <c r="B11" s="4">
        <v>0.38940000000000002</v>
      </c>
      <c r="C11" s="4">
        <v>1.06E-2</v>
      </c>
    </row>
    <row r="12" spans="1:3" x14ac:dyDescent="0.25">
      <c r="A12" s="3">
        <v>2011</v>
      </c>
      <c r="B12" s="4">
        <v>-0.2777</v>
      </c>
      <c r="C12" s="4">
        <v>2.2200000000000001E-2</v>
      </c>
    </row>
    <row r="13" spans="1:3" x14ac:dyDescent="0.25">
      <c r="A13" s="5">
        <v>2012</v>
      </c>
      <c r="B13" s="6">
        <v>-0.26269999999999999</v>
      </c>
      <c r="C13" s="6">
        <v>4.4699999999999997E-2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T1-Basic Desc Stats</vt:lpstr>
      <vt:lpstr>recalled</vt:lpstr>
      <vt:lpstr>recovered</vt:lpstr>
      <vt:lpstr>T2-Multivariate Model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Stasiewicz, Matthew Jon</dc:creator>
  <cp:lastModifiedBy>Stasiewicz, Matthew Jon</cp:lastModifiedBy>
  <dcterms:created xsi:type="dcterms:W3CDTF">2016-06-13T17:23:04Z</dcterms:created>
  <dcterms:modified xsi:type="dcterms:W3CDTF">2016-07-08T22:59:13Z</dcterms:modified>
</cp:coreProperties>
</file>